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180" yWindow="600" windowWidth="16800" windowHeight="20400" tabRatio="600" firstSheet="1" activeTab="4" autoFilterDateGrouping="1"/>
  </bookViews>
  <sheets>
    <sheet name="Informations" sheetId="1" state="visible" r:id="rId1"/>
    <sheet name="1. Configuration" sheetId="2" state="visible" r:id="rId2"/>
    <sheet name="2. Collaborateurs·trices" sheetId="3" state="visible" r:id="rId3"/>
    <sheet name="3. Prestations" sheetId="4" state="visible" r:id="rId4"/>
    <sheet name="4. Fiches de salaire" sheetId="5" state="visible" r:id="rId5"/>
    <sheet name="5. Déclaration AVS" sheetId="6" state="visible" r:id="rId6"/>
    <sheet name="6. Certificats de salaire" sheetId="7" state="visible" r:id="rId7"/>
  </sheets>
  <definedNames>
    <definedName name="_xlnm.Print_Area" localSheetId="0">'Informations'!$A$1:$H$29</definedName>
    <definedName name="_xlnm.Print_Area" localSheetId="1">'1. Configuration'!$A$1:$C$49</definedName>
    <definedName name="_xlnm.Print_Area" localSheetId="2">'2. Collaborateurs·trices'!$A$1:$M$40</definedName>
    <definedName name="_xlnm.Print_Area" localSheetId="3">'3. Prestations'!$D$1:$N$102</definedName>
    <definedName name="_xlnm.Print_Area" localSheetId="4">'4. Fiches de salaire'!$B$7:$G$48</definedName>
    <definedName name="_xlnm.Print_Area" localSheetId="5">'5. Déclaration AVS'!$A$1:$D$41</definedName>
    <definedName name="_xlnm.Print_Area" localSheetId="6">'6. Certificats de salaire'!$A$1:$K$42</definedName>
  </definedNames>
  <calcPr calcId="191029" fullCalcOnLoad="1"/>
</workbook>
</file>

<file path=xl/styles.xml><?xml version="1.0" encoding="utf-8"?>
<styleSheet xmlns="http://schemas.openxmlformats.org/spreadsheetml/2006/main">
  <numFmts count="5">
    <numFmt numFmtId="164" formatCode="0.000%"/>
    <numFmt numFmtId="165" formatCode="&quot;CHF&quot;_#\ ##0.00"/>
    <numFmt numFmtId="166" formatCode="_ &quot;CHF&quot;\ * #,##0.00_ ;_ &quot;CHF&quot;\ * \-#,##0.00_ ;_ &quot;CHF&quot;\ * &quot;-&quot;??_ ;_ @_ "/>
    <numFmt numFmtId="167" formatCode="_ * #,##0.00_)\ &quot;CHF&quot;_ ;_ * \(#,##0.00\)\ &quot;CHF&quot;_ ;_ * &quot;-&quot;??_)\ &quot;CHF&quot;_ ;_ @_ "/>
    <numFmt numFmtId="168" formatCode="yyyy-mm-dd h:mm:ss"/>
  </numFmts>
  <fonts count="20">
    <font>
      <name val="Calibri"/>
      <family val="2"/>
      <color theme="1"/>
      <sz val="12"/>
      <scheme val="minor"/>
    </font>
    <font>
      <name val="Calibri"/>
      <family val="2"/>
      <color theme="1"/>
      <sz val="12"/>
      <scheme val="minor"/>
    </font>
    <font>
      <name val="Calibri"/>
      <family val="2"/>
      <sz val="8"/>
      <scheme val="minor"/>
    </font>
    <font>
      <name val="Arial"/>
      <family val="2"/>
      <color theme="1"/>
      <sz val="11"/>
    </font>
    <font>
      <name val="Calibri"/>
      <family val="2"/>
      <color theme="10"/>
      <sz val="12"/>
      <u val="single"/>
      <scheme val="minor"/>
    </font>
    <font>
      <name val="Arial"/>
      <family val="2"/>
      <b val="1"/>
      <color theme="1"/>
      <sz val="11"/>
    </font>
    <font>
      <name val="Arial"/>
      <family val="2"/>
      <b val="1"/>
      <color rgb="FFFF0000"/>
      <sz val="11"/>
    </font>
    <font>
      <name val="Arial"/>
      <family val="2"/>
      <b val="1"/>
      <color theme="1"/>
      <sz val="15"/>
    </font>
    <font>
      <name val="Arial"/>
      <family val="2"/>
      <color theme="0" tint="-0.1499984740745262"/>
      <sz val="11"/>
    </font>
    <font>
      <name val="Arial"/>
      <family val="2"/>
      <color theme="1"/>
      <sz val="12"/>
    </font>
    <font>
      <name val="Arial"/>
      <family val="2"/>
      <b val="1"/>
      <color theme="1"/>
      <sz val="12"/>
    </font>
    <font>
      <name val="Arial"/>
      <family val="2"/>
      <sz val="12"/>
    </font>
    <font>
      <name val="Arial"/>
      <family val="2"/>
      <b val="1"/>
      <color theme="1"/>
      <sz val="14"/>
    </font>
    <font>
      <name val="Arial"/>
      <family val="2"/>
      <color theme="10"/>
      <sz val="11"/>
    </font>
    <font>
      <name val="Arial"/>
      <family val="2"/>
      <color rgb="FFFF0000"/>
      <sz val="11"/>
    </font>
    <font>
      <name val="Arial"/>
      <family val="2"/>
      <color theme="2" tint="-0.249977111117893"/>
      <sz val="11"/>
    </font>
    <font>
      <name val="Arial"/>
      <family val="2"/>
      <color theme="1"/>
      <sz val="10"/>
    </font>
    <font>
      <name val="Arial"/>
      <family val="2"/>
      <color theme="10"/>
      <sz val="12"/>
      <u val="single"/>
    </font>
    <font>
      <name val="Arial"/>
      <family val="2"/>
      <color rgb="FF00B0F0"/>
      <sz val="11"/>
      <u val="single"/>
    </font>
    <font>
      <name val="Arial"/>
      <family val="2"/>
      <color rgb="FF00B0F0"/>
      <sz val="12"/>
      <u val="single"/>
    </font>
  </fonts>
  <fills count="8">
    <fill>
      <patternFill/>
    </fill>
    <fill>
      <patternFill patternType="gray125"/>
    </fill>
    <fill>
      <patternFill patternType="solid">
        <fgColor theme="2"/>
        <bgColor indexed="64"/>
      </patternFill>
    </fill>
    <fill>
      <patternFill patternType="solid">
        <fgColor theme="0"/>
        <bgColor indexed="64"/>
      </patternFill>
    </fill>
    <fill>
      <patternFill patternType="solid">
        <fgColor theme="0" tint="-0.3499862666707358"/>
        <bgColor indexed="64"/>
      </patternFill>
    </fill>
    <fill>
      <patternFill patternType="solid">
        <fgColor theme="7" tint="0.7999816888943144"/>
        <bgColor indexed="64"/>
      </patternFill>
    </fill>
    <fill>
      <patternFill patternType="solid">
        <fgColor theme="6"/>
        <bgColor indexed="64"/>
      </patternFill>
    </fill>
    <fill>
      <patternFill patternType="solid">
        <fgColor rgb="FFE6E6E6"/>
        <bgColor indexed="64"/>
      </patternFill>
    </fill>
  </fills>
  <borders count="9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style="thin">
        <color theme="0"/>
      </top>
      <bottom style="thin">
        <color indexed="64"/>
      </bottom>
      <diagonal/>
    </border>
    <border>
      <left style="thin">
        <color theme="1"/>
      </left>
      <right style="thin">
        <color theme="1"/>
      </right>
      <top style="thin">
        <color theme="1"/>
      </top>
      <bottom style="thin">
        <color theme="1"/>
      </bottom>
      <diagonal/>
    </border>
    <border>
      <left/>
      <right/>
      <top/>
      <bottom style="thin">
        <color theme="1"/>
      </bottom>
      <diagonal/>
    </border>
    <border>
      <left style="medium">
        <color theme="1"/>
      </left>
      <right/>
      <top style="medium">
        <color theme="1"/>
      </top>
      <bottom/>
      <diagonal/>
    </border>
    <border>
      <left style="medium">
        <color theme="1"/>
      </left>
      <right/>
      <top/>
      <bottom/>
      <diagonal/>
    </border>
    <border>
      <left style="medium">
        <color theme="1"/>
      </left>
      <right/>
      <top/>
      <bottom style="medium">
        <color theme="1"/>
      </bottom>
      <diagonal/>
    </border>
    <border>
      <left style="medium">
        <color theme="1"/>
      </left>
      <right style="thin">
        <color indexed="64"/>
      </right>
      <top style="medium">
        <color theme="1"/>
      </top>
      <bottom/>
      <diagonal/>
    </border>
    <border>
      <left/>
      <right style="medium">
        <color theme="1"/>
      </right>
      <top style="medium">
        <color theme="1"/>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style="thin">
        <color indexed="64"/>
      </right>
      <top style="medium">
        <color theme="1"/>
      </top>
      <bottom style="thin">
        <color indexed="64"/>
      </bottom>
      <diagonal/>
    </border>
    <border>
      <left style="thin">
        <color indexed="64"/>
      </left>
      <right style="thin">
        <color indexed="64"/>
      </right>
      <top style="medium">
        <color theme="1"/>
      </top>
      <bottom style="thin">
        <color indexed="64"/>
      </bottom>
      <diagonal/>
    </border>
    <border>
      <left style="thin">
        <color indexed="64"/>
      </left>
      <right style="medium">
        <color theme="1"/>
      </right>
      <top style="medium">
        <color theme="1"/>
      </top>
      <bottom style="thin">
        <color indexed="64"/>
      </bottom>
      <diagonal/>
    </border>
    <border>
      <left style="medium">
        <color theme="1"/>
      </left>
      <right style="thin">
        <color indexed="64"/>
      </right>
      <top style="thin">
        <color indexed="64"/>
      </top>
      <bottom style="thin">
        <color indexed="64"/>
      </bottom>
      <diagonal/>
    </border>
    <border>
      <left style="thin">
        <color indexed="64"/>
      </left>
      <right style="medium">
        <color theme="1"/>
      </right>
      <top style="thin">
        <color indexed="64"/>
      </top>
      <bottom style="thin">
        <color indexed="64"/>
      </bottom>
      <diagonal/>
    </border>
    <border>
      <left style="thin">
        <color indexed="64"/>
      </left>
      <right style="medium">
        <color theme="1"/>
      </right>
      <top style="thin">
        <color indexed="64"/>
      </top>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right style="medium">
        <color theme="1"/>
      </right>
      <top/>
      <bottom/>
      <diagonal/>
    </border>
    <border>
      <left/>
      <right style="medium">
        <color theme="1"/>
      </right>
      <top/>
      <bottom style="medium">
        <color theme="1"/>
      </bottom>
      <diagonal/>
    </border>
    <border>
      <left style="thin">
        <color theme="1"/>
      </left>
      <right style="thin">
        <color theme="1"/>
      </right>
      <top/>
      <bottom style="thin">
        <color theme="1"/>
      </bottom>
      <diagonal/>
    </border>
    <border>
      <left style="thin">
        <color theme="1"/>
      </left>
      <right style="medium">
        <color theme="1"/>
      </right>
      <top/>
      <bottom style="medium">
        <color theme="1"/>
      </bottom>
      <diagonal/>
    </border>
    <border>
      <left style="medium">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indexed="64"/>
      </left>
      <right/>
      <top style="medium">
        <color theme="1"/>
      </top>
      <bottom style="medium">
        <color theme="1"/>
      </bottom>
      <diagonal/>
    </border>
    <border>
      <left style="thin">
        <color theme="1"/>
      </left>
      <right style="medium">
        <color theme="1"/>
      </right>
      <top/>
      <bottom/>
      <diagonal/>
    </border>
    <border>
      <left style="thin">
        <color theme="1"/>
      </left>
      <right/>
      <top style="medium">
        <color theme="1"/>
      </top>
      <bottom style="medium">
        <color theme="1"/>
      </bottom>
      <diagonal/>
    </border>
    <border>
      <left/>
      <right style="thin">
        <color indexed="64"/>
      </right>
      <top/>
      <bottom style="medium">
        <color indexed="64"/>
      </bottom>
      <diagonal/>
    </border>
    <border>
      <left style="thin">
        <color theme="1"/>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theme="1"/>
      </right>
      <top style="medium">
        <color theme="1"/>
      </top>
      <bottom style="medium">
        <color theme="1"/>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style="thin">
        <color theme="1"/>
      </right>
      <top/>
      <bottom style="thin">
        <color theme="1"/>
      </bottom>
      <diagonal/>
    </border>
    <border>
      <left/>
      <right style="thin">
        <color indexed="64"/>
      </right>
      <top style="thin">
        <color indexed="64"/>
      </top>
      <bottom/>
      <diagonal/>
    </border>
    <border>
      <left/>
      <right style="thin">
        <color indexed="64"/>
      </right>
      <top/>
      <bottom style="thin">
        <color indexed="64"/>
      </bottom>
      <diagonal/>
    </border>
    <border>
      <left style="thin">
        <color theme="1"/>
      </left>
      <right/>
      <top/>
      <bottom style="medium">
        <color theme="1"/>
      </bottom>
      <diagonal/>
    </border>
    <border>
      <left style="medium">
        <color indexed="64"/>
      </left>
      <right style="medium">
        <color indexed="64"/>
      </right>
      <top/>
      <bottom/>
      <diagonal/>
    </border>
    <border>
      <left style="thin">
        <color indexed="64"/>
      </left>
      <right style="medium">
        <color indexed="64"/>
      </right>
      <top style="thin">
        <color indexed="64"/>
      </top>
      <bottom/>
      <diagonal/>
    </border>
    <border>
      <left style="thin">
        <color theme="1"/>
      </left>
      <right style="thin">
        <color theme="1"/>
      </right>
      <top/>
      <bottom/>
      <diagonal/>
    </border>
    <border>
      <left style="thin">
        <color theme="1"/>
      </left>
      <right style="thin">
        <color theme="1"/>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diagonal/>
    </border>
    <border>
      <left/>
      <right/>
      <top style="medium">
        <color theme="1"/>
      </top>
      <bottom/>
      <diagonal/>
    </border>
    <border>
      <left style="thin">
        <color theme="1"/>
      </left>
      <right style="medium">
        <color theme="1"/>
      </right>
      <top style="medium">
        <color theme="1"/>
      </top>
      <bottom style="medium">
        <color theme="1"/>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s>
  <cellStyleXfs count="3">
    <xf numFmtId="0" fontId="1" fillId="0" borderId="0"/>
    <xf numFmtId="9" fontId="1" fillId="0" borderId="0"/>
    <xf numFmtId="0" fontId="4" fillId="0" borderId="0"/>
  </cellStyleXfs>
  <cellXfs count="273">
    <xf numFmtId="0" fontId="0" fillId="0" borderId="0" pivotButton="0" quotePrefix="0" xfId="0"/>
    <xf numFmtId="10" fontId="3" fillId="5" borderId="1" applyAlignment="1" applyProtection="1" pivotButton="0" quotePrefix="0" xfId="1">
      <alignment horizontal="left"/>
      <protection locked="0" hidden="0"/>
    </xf>
    <xf numFmtId="10" fontId="3" fillId="5" borderId="8" applyAlignment="1" applyProtection="1" pivotButton="0" quotePrefix="0" xfId="1">
      <alignment horizontal="left"/>
      <protection locked="0" hidden="0"/>
    </xf>
    <xf numFmtId="0" fontId="7" fillId="3" borderId="0" applyProtection="1" pivotButton="0" quotePrefix="0" xfId="0">
      <protection locked="1" hidden="1"/>
    </xf>
    <xf numFmtId="0" fontId="3" fillId="3" borderId="0" applyProtection="1" pivotButton="0" quotePrefix="0" xfId="0">
      <protection locked="1" hidden="1"/>
    </xf>
    <xf numFmtId="0" fontId="3" fillId="3" borderId="0" applyAlignment="1" applyProtection="1" pivotButton="0" quotePrefix="0" xfId="0">
      <alignment horizontal="left"/>
      <protection locked="1" hidden="1"/>
    </xf>
    <xf numFmtId="0" fontId="7" fillId="3" borderId="0" applyAlignment="1" applyProtection="1" pivotButton="0" quotePrefix="0" xfId="0">
      <alignment horizontal="left"/>
      <protection locked="1" hidden="1"/>
    </xf>
    <xf numFmtId="0" fontId="9" fillId="3" borderId="0" applyAlignment="1" applyProtection="1" pivotButton="0" quotePrefix="0" xfId="0">
      <alignment horizontal="left"/>
      <protection locked="1" hidden="1"/>
    </xf>
    <xf numFmtId="0" fontId="5" fillId="3" borderId="16" applyAlignment="1" applyProtection="1" pivotButton="0" quotePrefix="0" xfId="0">
      <alignment horizontal="left"/>
      <protection locked="1" hidden="1"/>
    </xf>
    <xf numFmtId="0" fontId="5" fillId="2" borderId="39" applyAlignment="1" applyProtection="1" pivotButton="0" quotePrefix="0" xfId="0">
      <alignment horizontal="left"/>
      <protection locked="1" hidden="1"/>
    </xf>
    <xf numFmtId="0" fontId="3" fillId="3" borderId="13" applyAlignment="1" applyProtection="1" pivotButton="0" quotePrefix="0" xfId="0">
      <alignment horizontal="left"/>
      <protection locked="1" hidden="1"/>
    </xf>
    <xf numFmtId="0" fontId="3" fillId="3" borderId="1" applyAlignment="1" applyProtection="1" pivotButton="0" quotePrefix="0" xfId="0">
      <alignment horizontal="left"/>
      <protection locked="1" hidden="1"/>
    </xf>
    <xf numFmtId="0" fontId="5" fillId="2" borderId="16" applyAlignment="1" applyProtection="1" pivotButton="0" quotePrefix="0" xfId="0">
      <alignment horizontal="left"/>
      <protection locked="1" hidden="1"/>
    </xf>
    <xf numFmtId="0" fontId="5" fillId="2" borderId="17" applyAlignment="1" applyProtection="1" pivotButton="0" quotePrefix="0" xfId="0">
      <alignment horizontal="left"/>
      <protection locked="1" hidden="1"/>
    </xf>
    <xf numFmtId="0" fontId="5" fillId="2" borderId="15" applyAlignment="1" applyProtection="1" pivotButton="0" quotePrefix="0" xfId="0">
      <alignment horizontal="left"/>
      <protection locked="1" hidden="1"/>
    </xf>
    <xf numFmtId="0" fontId="3" fillId="3" borderId="27" applyAlignment="1" applyProtection="1" pivotButton="0" quotePrefix="0" xfId="0">
      <alignment horizontal="left"/>
      <protection locked="1" hidden="1"/>
    </xf>
    <xf numFmtId="0" fontId="3" fillId="3" borderId="23" applyAlignment="1" applyProtection="1" pivotButton="0" quotePrefix="0" xfId="0">
      <alignment horizontal="left"/>
      <protection locked="1" hidden="1"/>
    </xf>
    <xf numFmtId="0" fontId="5" fillId="2" borderId="21" applyAlignment="1" applyProtection="1" pivotButton="0" quotePrefix="0" xfId="0">
      <alignment horizontal="left"/>
      <protection locked="1" hidden="1"/>
    </xf>
    <xf numFmtId="0" fontId="5" fillId="2" borderId="22" applyAlignment="1" applyProtection="1" pivotButton="0" quotePrefix="0" xfId="0">
      <alignment horizontal="left"/>
      <protection locked="1" hidden="1"/>
    </xf>
    <xf numFmtId="0" fontId="5" fillId="2" borderId="9" applyAlignment="1" applyProtection="1" pivotButton="0" quotePrefix="0" xfId="0">
      <alignment horizontal="left"/>
      <protection locked="1" hidden="1"/>
    </xf>
    <xf numFmtId="0" fontId="3" fillId="3" borderId="37" applyAlignment="1" applyProtection="1" pivotButton="0" quotePrefix="0" xfId="0">
      <alignment horizontal="left"/>
      <protection locked="1" hidden="1"/>
    </xf>
    <xf numFmtId="0" fontId="3" fillId="3" borderId="42" applyAlignment="1" applyProtection="1" pivotButton="0" quotePrefix="0" xfId="0">
      <alignment horizontal="left"/>
      <protection locked="1" hidden="1"/>
    </xf>
    <xf numFmtId="0" fontId="3" fillId="3" borderId="45" applyAlignment="1" applyProtection="1" pivotButton="0" quotePrefix="0" xfId="0">
      <alignment horizontal="left"/>
      <protection locked="1" hidden="1"/>
    </xf>
    <xf numFmtId="10" fontId="3" fillId="0" borderId="1" applyAlignment="1" applyProtection="1" pivotButton="0" quotePrefix="0" xfId="1">
      <alignment horizontal="left"/>
      <protection locked="1" hidden="1"/>
    </xf>
    <xf numFmtId="10" fontId="3" fillId="0" borderId="46" applyAlignment="1" applyProtection="1" pivotButton="0" quotePrefix="0" xfId="0">
      <alignment horizontal="left"/>
      <protection locked="1" hidden="1"/>
    </xf>
    <xf numFmtId="0" fontId="5" fillId="3" borderId="48" applyAlignment="1" applyProtection="1" pivotButton="0" quotePrefix="0" xfId="0">
      <alignment horizontal="left" wrapText="1"/>
      <protection locked="1" hidden="1"/>
    </xf>
    <xf numFmtId="164" fontId="5" fillId="3" borderId="49" applyAlignment="1" applyProtection="1" pivotButton="0" quotePrefix="0" xfId="1">
      <alignment horizontal="left"/>
      <protection locked="1" hidden="1"/>
    </xf>
    <xf numFmtId="164" fontId="5" fillId="3" borderId="50" applyAlignment="1" applyProtection="1" pivotButton="0" quotePrefix="0" xfId="1">
      <alignment horizontal="left"/>
      <protection locked="1" hidden="1"/>
    </xf>
    <xf numFmtId="0" fontId="3" fillId="3" borderId="55" applyAlignment="1" applyProtection="1" pivotButton="0" quotePrefix="0" xfId="0">
      <alignment horizontal="left" wrapText="1"/>
      <protection locked="1" hidden="1"/>
    </xf>
    <xf numFmtId="10" fontId="3" fillId="3" borderId="57" applyAlignment="1" applyProtection="1" pivotButton="0" quotePrefix="0" xfId="1">
      <alignment horizontal="left"/>
      <protection locked="1" hidden="1"/>
    </xf>
    <xf numFmtId="0" fontId="3" fillId="3" borderId="48" applyAlignment="1" applyProtection="1" pivotButton="0" quotePrefix="0" xfId="0">
      <alignment horizontal="left" wrapText="1"/>
      <protection locked="1" hidden="1"/>
    </xf>
    <xf numFmtId="10" fontId="3" fillId="3" borderId="49" applyAlignment="1" applyProtection="1" pivotButton="0" quotePrefix="0" xfId="1">
      <alignment horizontal="left"/>
      <protection locked="1" hidden="1"/>
    </xf>
    <xf numFmtId="0" fontId="5" fillId="3" borderId="0" applyAlignment="1" applyProtection="1" pivotButton="0" quotePrefix="0" xfId="0">
      <alignment horizontal="left"/>
      <protection locked="1" hidden="1"/>
    </xf>
    <xf numFmtId="165" fontId="3" fillId="5" borderId="13" applyAlignment="1" applyProtection="1" pivotButton="0" quotePrefix="0" xfId="0">
      <alignment horizontal="center"/>
      <protection locked="0" hidden="0"/>
    </xf>
    <xf numFmtId="165" fontId="3" fillId="5" borderId="14" applyAlignment="1" applyProtection="1" pivotButton="0" quotePrefix="0" xfId="0">
      <alignment horizontal="center"/>
      <protection locked="0" hidden="0"/>
    </xf>
    <xf numFmtId="165" fontId="3" fillId="5" borderId="1" applyAlignment="1" applyProtection="1" pivotButton="0" quotePrefix="0" xfId="0">
      <alignment horizontal="center"/>
      <protection locked="0" hidden="0"/>
    </xf>
    <xf numFmtId="165" fontId="3" fillId="5" borderId="10" applyAlignment="1" applyProtection="1" pivotButton="0" quotePrefix="0" xfId="0">
      <alignment horizontal="center"/>
      <protection locked="0" hidden="0"/>
    </xf>
    <xf numFmtId="165" fontId="3" fillId="5" borderId="11" applyAlignment="1" applyProtection="1" pivotButton="0" quotePrefix="0" xfId="0">
      <alignment horizontal="center"/>
      <protection locked="0" hidden="0"/>
    </xf>
    <xf numFmtId="165" fontId="3" fillId="5" borderId="12" applyAlignment="1" applyProtection="1" pivotButton="0" quotePrefix="0" xfId="0">
      <alignment horizontal="center"/>
      <protection locked="0" hidden="0"/>
    </xf>
    <xf numFmtId="10" fontId="3" fillId="5" borderId="46" applyAlignment="1" applyProtection="1" pivotButton="0" quotePrefix="0" xfId="0">
      <alignment horizontal="left"/>
      <protection locked="0" hidden="0"/>
    </xf>
    <xf numFmtId="10" fontId="3" fillId="5" borderId="47" applyAlignment="1" applyProtection="1" pivotButton="0" quotePrefix="0" xfId="0">
      <alignment horizontal="left"/>
      <protection locked="0" hidden="0"/>
    </xf>
    <xf numFmtId="0" fontId="9" fillId="3" borderId="0" applyProtection="1" pivotButton="0" quotePrefix="0" xfId="0">
      <protection locked="1" hidden="1"/>
    </xf>
    <xf numFmtId="0" fontId="5" fillId="3" borderId="0" applyProtection="1" pivotButton="0" quotePrefix="0" xfId="0">
      <protection locked="1" hidden="1"/>
    </xf>
    <xf numFmtId="0" fontId="5" fillId="2" borderId="1" applyProtection="1" pivotButton="0" quotePrefix="0" xfId="0">
      <protection locked="1" hidden="1"/>
    </xf>
    <xf numFmtId="0" fontId="3" fillId="5" borderId="1" applyProtection="1" pivotButton="0" quotePrefix="0" xfId="0">
      <protection locked="0" hidden="0"/>
    </xf>
    <xf numFmtId="49" fontId="3" fillId="5" borderId="1" applyProtection="1" pivotButton="0" quotePrefix="0" xfId="0">
      <protection locked="0" hidden="0"/>
    </xf>
    <xf numFmtId="10" fontId="3" fillId="3" borderId="1" applyProtection="1" pivotButton="0" quotePrefix="0" xfId="0">
      <protection locked="0" hidden="0"/>
    </xf>
    <xf numFmtId="0" fontId="3" fillId="3" borderId="1" applyProtection="1" pivotButton="0" quotePrefix="0" xfId="0">
      <protection locked="0" hidden="0"/>
    </xf>
    <xf numFmtId="14" fontId="3" fillId="3" borderId="1" applyProtection="1" pivotButton="0" quotePrefix="0" xfId="0">
      <protection locked="0" hidden="0"/>
    </xf>
    <xf numFmtId="49" fontId="3" fillId="3" borderId="1" applyProtection="1" pivotButton="0" quotePrefix="0" xfId="0">
      <protection locked="0" hidden="0"/>
    </xf>
    <xf numFmtId="0" fontId="3" fillId="3" borderId="0" applyAlignment="1" applyProtection="1" pivotButton="0" quotePrefix="0" xfId="0">
      <alignment horizontal="center" vertical="top"/>
      <protection locked="1" hidden="1"/>
    </xf>
    <xf numFmtId="14" fontId="3" fillId="3" borderId="0" applyProtection="1" pivotButton="0" quotePrefix="0" xfId="0">
      <protection locked="1" hidden="1"/>
    </xf>
    <xf numFmtId="2" fontId="3" fillId="3" borderId="38" applyProtection="1" pivotButton="0" quotePrefix="0" xfId="0">
      <protection locked="1" hidden="1"/>
    </xf>
    <xf numFmtId="2" fontId="3" fillId="3" borderId="5" applyProtection="1" pivotButton="0" quotePrefix="0" xfId="0">
      <protection locked="1" hidden="1"/>
    </xf>
    <xf numFmtId="2" fontId="3" fillId="3" borderId="20" applyProtection="1" pivotButton="0" quotePrefix="0" xfId="0">
      <protection locked="1" hidden="1"/>
    </xf>
    <xf numFmtId="2" fontId="3" fillId="3" borderId="4" applyProtection="1" pivotButton="0" quotePrefix="0" xfId="0">
      <protection locked="1" hidden="1"/>
    </xf>
    <xf numFmtId="2" fontId="3" fillId="3" borderId="34" applyProtection="1" pivotButton="0" quotePrefix="0" xfId="0">
      <protection locked="1" hidden="1"/>
    </xf>
    <xf numFmtId="2" fontId="3" fillId="3" borderId="51" applyProtection="1" pivotButton="0" quotePrefix="0" xfId="0">
      <protection locked="1" hidden="1"/>
    </xf>
    <xf numFmtId="2" fontId="3" fillId="3" borderId="35" applyProtection="1" pivotButton="0" quotePrefix="0" xfId="0">
      <protection locked="1" hidden="1"/>
    </xf>
    <xf numFmtId="2" fontId="3" fillId="3" borderId="52" applyProtection="1" pivotButton="0" quotePrefix="0" xfId="0">
      <protection locked="1" hidden="1"/>
    </xf>
    <xf numFmtId="2" fontId="3" fillId="3" borderId="61" applyProtection="1" pivotButton="0" quotePrefix="0" xfId="0">
      <protection locked="1" hidden="1"/>
    </xf>
    <xf numFmtId="2" fontId="3" fillId="3" borderId="29" applyProtection="1" pivotButton="0" quotePrefix="0" xfId="0">
      <protection locked="1" hidden="1"/>
    </xf>
    <xf numFmtId="2" fontId="3" fillId="3" borderId="30" applyProtection="1" pivotButton="0" quotePrefix="0" xfId="0">
      <protection locked="1" hidden="1"/>
    </xf>
    <xf numFmtId="2" fontId="3" fillId="3" borderId="36" applyProtection="1" pivotButton="0" quotePrefix="0" xfId="0">
      <protection locked="1" hidden="1"/>
    </xf>
    <xf numFmtId="0" fontId="5" fillId="3" borderId="39" applyProtection="1" pivotButton="0" quotePrefix="0" xfId="0">
      <protection locked="1" hidden="1"/>
    </xf>
    <xf numFmtId="0" fontId="3" fillId="3" borderId="40" applyProtection="1" pivotButton="0" quotePrefix="0" xfId="0">
      <protection locked="1" hidden="1"/>
    </xf>
    <xf numFmtId="0" fontId="3" fillId="3" borderId="41" applyAlignment="1" applyProtection="1" pivotButton="0" quotePrefix="0" xfId="0">
      <alignment horizontal="center" vertical="top"/>
      <protection locked="1" hidden="1"/>
    </xf>
    <xf numFmtId="2" fontId="5" fillId="3" borderId="40" applyProtection="1" pivotButton="0" quotePrefix="0" xfId="0">
      <protection locked="1" hidden="1"/>
    </xf>
    <xf numFmtId="0" fontId="3" fillId="3" borderId="41" applyProtection="1" pivotButton="0" quotePrefix="0" xfId="0">
      <protection locked="1" hidden="1"/>
    </xf>
    <xf numFmtId="2" fontId="5" fillId="3" borderId="39" applyProtection="1" pivotButton="0" quotePrefix="0" xfId="0">
      <protection locked="1" hidden="1"/>
    </xf>
    <xf numFmtId="0" fontId="3" fillId="5" borderId="34" applyProtection="1" pivotButton="0" quotePrefix="0" xfId="0">
      <protection locked="0" hidden="0"/>
    </xf>
    <xf numFmtId="0" fontId="3" fillId="5" borderId="35" applyProtection="1" pivotButton="0" quotePrefix="0" xfId="0">
      <protection locked="0" hidden="0"/>
    </xf>
    <xf numFmtId="0" fontId="3" fillId="5" borderId="36" applyProtection="1" pivotButton="0" quotePrefix="0" xfId="0">
      <protection locked="0" hidden="0"/>
    </xf>
    <xf numFmtId="2" fontId="3" fillId="5" borderId="59" applyProtection="1" pivotButton="0" quotePrefix="0" xfId="0">
      <protection locked="0" hidden="0"/>
    </xf>
    <xf numFmtId="2" fontId="3" fillId="5" borderId="54" applyProtection="1" pivotButton="0" quotePrefix="0" xfId="0">
      <protection locked="0" hidden="0"/>
    </xf>
    <xf numFmtId="2" fontId="5" fillId="3" borderId="66" applyProtection="1" pivotButton="0" quotePrefix="0" xfId="0">
      <protection locked="1" hidden="1"/>
    </xf>
    <xf numFmtId="0" fontId="10" fillId="3" borderId="0" applyAlignment="1" applyProtection="1" pivotButton="0" quotePrefix="0" xfId="0">
      <alignment horizontal="left"/>
      <protection locked="1" hidden="1"/>
    </xf>
    <xf numFmtId="0" fontId="10" fillId="2" borderId="32" applyAlignment="1" applyProtection="1" pivotButton="0" quotePrefix="0" xfId="0">
      <alignment horizontal="left"/>
      <protection locked="1" hidden="1"/>
    </xf>
    <xf numFmtId="0" fontId="10" fillId="2" borderId="32" applyProtection="1" pivotButton="0" quotePrefix="0" xfId="0">
      <protection locked="1" hidden="1"/>
    </xf>
    <xf numFmtId="0" fontId="11" fillId="3" borderId="53" applyAlignment="1" applyProtection="1" pivotButton="0" quotePrefix="0" xfId="0">
      <alignment horizontal="left"/>
      <protection locked="1" hidden="1"/>
    </xf>
    <xf numFmtId="0" fontId="11" fillId="3" borderId="6" applyProtection="1" pivotButton="0" quotePrefix="0" xfId="0">
      <protection locked="1" hidden="1"/>
    </xf>
    <xf numFmtId="14" fontId="11" fillId="3" borderId="53" applyProtection="1" pivotButton="0" quotePrefix="0" xfId="0">
      <protection locked="1" hidden="1"/>
    </xf>
    <xf numFmtId="0" fontId="9" fillId="3" borderId="53" applyProtection="1" pivotButton="0" quotePrefix="0" xfId="0">
      <protection locked="1" hidden="1"/>
    </xf>
    <xf numFmtId="0" fontId="7" fillId="4" borderId="0" applyProtection="1" pivotButton="0" quotePrefix="0" xfId="0">
      <protection locked="1" hidden="1"/>
    </xf>
    <xf numFmtId="0" fontId="3" fillId="4" borderId="0" applyProtection="1" pivotButton="0" quotePrefix="0" xfId="0">
      <protection locked="1" hidden="1"/>
    </xf>
    <xf numFmtId="0" fontId="9" fillId="4" borderId="0" applyProtection="1" pivotButton="0" quotePrefix="0" xfId="0">
      <protection locked="1" hidden="1"/>
    </xf>
    <xf numFmtId="0" fontId="5" fillId="4" borderId="0" applyAlignment="1" applyProtection="1" pivotButton="0" quotePrefix="0" xfId="0">
      <alignment horizontal="left" vertical="center"/>
      <protection locked="1" hidden="1"/>
    </xf>
    <xf numFmtId="0" fontId="3" fillId="4" borderId="0" applyAlignment="1" applyProtection="1" pivotButton="0" quotePrefix="0" xfId="0">
      <alignment vertical="center"/>
      <protection locked="1" hidden="1"/>
    </xf>
    <xf numFmtId="0" fontId="3" fillId="4" borderId="0" applyAlignment="1" applyProtection="1" pivotButton="0" quotePrefix="0" xfId="0">
      <alignment horizontal="right"/>
      <protection locked="1" hidden="1"/>
    </xf>
    <xf numFmtId="0" fontId="8" fillId="4" borderId="0" applyProtection="1" pivotButton="0" quotePrefix="0" xfId="0">
      <protection locked="1" hidden="1"/>
    </xf>
    <xf numFmtId="0" fontId="6" fillId="3" borderId="0" applyAlignment="1" applyProtection="1" pivotButton="0" quotePrefix="0" xfId="0">
      <alignment vertical="center"/>
      <protection locked="1" hidden="1"/>
    </xf>
    <xf numFmtId="0" fontId="5" fillId="3" borderId="6" applyAlignment="1" applyProtection="1" pivotButton="0" quotePrefix="0" xfId="0">
      <alignment vertical="center"/>
      <protection locked="1" hidden="1"/>
    </xf>
    <xf numFmtId="0" fontId="3" fillId="3" borderId="0" applyAlignment="1" applyProtection="1" pivotButton="0" quotePrefix="0" xfId="0">
      <alignment vertical="center"/>
      <protection locked="1" hidden="1"/>
    </xf>
    <xf numFmtId="0" fontId="5" fillId="3" borderId="0" applyAlignment="1" applyProtection="1" pivotButton="0" quotePrefix="0" xfId="0">
      <alignment vertical="center"/>
      <protection locked="1" hidden="1"/>
    </xf>
    <xf numFmtId="166" fontId="3" fillId="0" borderId="0" applyAlignment="1" applyProtection="1" pivotButton="0" quotePrefix="0" xfId="0">
      <alignment horizontal="right" vertical="center"/>
      <protection locked="1" hidden="1"/>
    </xf>
    <xf numFmtId="0" fontId="3" fillId="3" borderId="6" applyAlignment="1" applyProtection="1" pivotButton="0" quotePrefix="0" xfId="0">
      <alignment vertical="center"/>
      <protection locked="1" hidden="1"/>
    </xf>
    <xf numFmtId="10" fontId="3" fillId="3" borderId="6" applyAlignment="1" applyProtection="1" pivotButton="0" quotePrefix="0" xfId="0">
      <alignment vertical="center"/>
      <protection locked="1" hidden="1"/>
    </xf>
    <xf numFmtId="166" fontId="3" fillId="0" borderId="6" applyAlignment="1" applyProtection="1" pivotButton="0" quotePrefix="0" xfId="0">
      <alignment horizontal="right" vertical="center"/>
      <protection locked="1" hidden="1"/>
    </xf>
    <xf numFmtId="166" fontId="5" fillId="0" borderId="0" applyAlignment="1" applyProtection="1" pivotButton="0" quotePrefix="0" xfId="0">
      <alignment horizontal="right" vertical="center"/>
      <protection locked="1" hidden="1"/>
    </xf>
    <xf numFmtId="164" fontId="3" fillId="3" borderId="0" applyAlignment="1" applyProtection="1" pivotButton="0" quotePrefix="0" xfId="1">
      <alignment vertical="center"/>
      <protection locked="1" hidden="1"/>
    </xf>
    <xf numFmtId="0" fontId="3" fillId="6" borderId="0" applyAlignment="1" applyProtection="1" pivotButton="0" quotePrefix="0" xfId="0">
      <alignment vertical="top" wrapText="1"/>
      <protection locked="1" hidden="1"/>
    </xf>
    <xf numFmtId="164" fontId="3" fillId="3" borderId="0" applyAlignment="1" applyProtection="1" pivotButton="0" quotePrefix="0" xfId="0">
      <alignment vertical="center"/>
      <protection locked="1" hidden="1"/>
    </xf>
    <xf numFmtId="0" fontId="3" fillId="3" borderId="0" applyAlignment="1" applyProtection="1" pivotButton="0" quotePrefix="0" xfId="0">
      <alignment horizontal="left" vertical="center"/>
      <protection locked="1" hidden="1"/>
    </xf>
    <xf numFmtId="0" fontId="5" fillId="3" borderId="3" applyAlignment="1" applyProtection="1" pivotButton="0" quotePrefix="0" xfId="0">
      <alignment vertical="center"/>
      <protection locked="1" hidden="1"/>
    </xf>
    <xf numFmtId="0" fontId="5" fillId="3" borderId="3" applyAlignment="1" applyProtection="1" pivotButton="0" quotePrefix="0" xfId="0">
      <alignment horizontal="center" vertical="center"/>
      <protection locked="1" hidden="1"/>
    </xf>
    <xf numFmtId="0" fontId="3" fillId="3" borderId="3" applyAlignment="1" applyProtection="1" pivotButton="0" quotePrefix="0" xfId="0">
      <alignment vertical="center"/>
      <protection locked="1" hidden="1"/>
    </xf>
    <xf numFmtId="166" fontId="5" fillId="0" borderId="3" applyAlignment="1" applyProtection="1" pivotButton="0" quotePrefix="0" xfId="0">
      <alignment horizontal="right" vertical="center"/>
      <protection locked="1" hidden="1"/>
    </xf>
    <xf numFmtId="0" fontId="3" fillId="3" borderId="33" applyAlignment="1" applyProtection="1" pivotButton="0" quotePrefix="0" xfId="0">
      <alignment vertical="center"/>
      <protection locked="1" hidden="1"/>
    </xf>
    <xf numFmtId="0" fontId="3" fillId="3" borderId="33" applyAlignment="1" applyProtection="1" pivotButton="0" quotePrefix="0" xfId="0">
      <alignment horizontal="center" vertical="center"/>
      <protection locked="1" hidden="1"/>
    </xf>
    <xf numFmtId="0" fontId="3" fillId="3" borderId="6" applyAlignment="1" applyProtection="1" pivotButton="0" quotePrefix="0" xfId="0">
      <alignment horizontal="center" vertical="center"/>
      <protection locked="1" hidden="1"/>
    </xf>
    <xf numFmtId="166" fontId="3" fillId="0" borderId="31" applyAlignment="1" applyProtection="1" pivotButton="0" quotePrefix="0" xfId="0">
      <alignment horizontal="right" vertical="center"/>
      <protection locked="1" hidden="1"/>
    </xf>
    <xf numFmtId="0" fontId="5" fillId="3" borderId="0" applyAlignment="1" applyProtection="1" pivotButton="0" quotePrefix="0" xfId="0">
      <alignment horizontal="center" vertical="center"/>
      <protection locked="1" hidden="1"/>
    </xf>
    <xf numFmtId="166" fontId="5" fillId="3" borderId="0" applyAlignment="1" applyProtection="1" pivotButton="0" quotePrefix="0" xfId="0">
      <alignment horizontal="right" vertical="center"/>
      <protection locked="1" hidden="1"/>
    </xf>
    <xf numFmtId="0" fontId="3" fillId="3" borderId="63" applyAlignment="1" applyProtection="1" pivotButton="0" quotePrefix="0" xfId="0">
      <alignment horizontal="left"/>
      <protection locked="1" hidden="1"/>
    </xf>
    <xf numFmtId="49" fontId="3" fillId="3" borderId="0" applyAlignment="1" applyProtection="1" pivotButton="0" quotePrefix="0" xfId="0">
      <alignment horizontal="left" vertical="top" wrapText="1"/>
      <protection locked="1" hidden="1"/>
    </xf>
    <xf numFmtId="0" fontId="3" fillId="5" borderId="1" applyProtection="1" pivotButton="0" quotePrefix="1" xfId="0">
      <protection locked="0" hidden="0"/>
    </xf>
    <xf numFmtId="0" fontId="3" fillId="2" borderId="0" applyAlignment="1" applyProtection="1" pivotButton="0" quotePrefix="0" xfId="0">
      <alignment horizontal="center" vertical="top"/>
      <protection locked="1" hidden="1"/>
    </xf>
    <xf numFmtId="0" fontId="5" fillId="2" borderId="70" applyAlignment="1" applyProtection="1" pivotButton="0" quotePrefix="0" xfId="0">
      <alignment vertical="top"/>
      <protection locked="1" hidden="1"/>
    </xf>
    <xf numFmtId="0" fontId="3" fillId="2" borderId="71" applyAlignment="1" applyProtection="1" pivotButton="0" quotePrefix="0" xfId="0">
      <alignment vertical="top"/>
      <protection locked="1" hidden="1"/>
    </xf>
    <xf numFmtId="0" fontId="3" fillId="2" borderId="71" applyAlignment="1" applyProtection="1" pivotButton="0" quotePrefix="0" xfId="0">
      <alignment horizontal="center" vertical="top"/>
      <protection locked="1" hidden="1"/>
    </xf>
    <xf numFmtId="0" fontId="5" fillId="2" borderId="71" applyAlignment="1" applyProtection="1" pivotButton="0" quotePrefix="0" xfId="0">
      <alignment vertical="top"/>
      <protection locked="1" hidden="1"/>
    </xf>
    <xf numFmtId="0" fontId="3" fillId="2" borderId="72" applyAlignment="1" applyProtection="1" pivotButton="0" quotePrefix="0" xfId="0">
      <alignment vertical="top"/>
      <protection locked="1" hidden="1"/>
    </xf>
    <xf numFmtId="0" fontId="5" fillId="2" borderId="76" applyAlignment="1" applyProtection="1" pivotButton="0" quotePrefix="0" xfId="0">
      <alignment vertical="top"/>
      <protection locked="1" hidden="1"/>
    </xf>
    <xf numFmtId="0" fontId="3" fillId="2" borderId="73" applyProtection="1" pivotButton="0" quotePrefix="0" xfId="0">
      <protection locked="1" hidden="1"/>
    </xf>
    <xf numFmtId="0" fontId="3" fillId="2" borderId="74" applyProtection="1" pivotButton="0" quotePrefix="0" xfId="0">
      <protection locked="1" hidden="1"/>
    </xf>
    <xf numFmtId="0" fontId="3" fillId="2" borderId="74" applyAlignment="1" applyProtection="1" pivotButton="0" quotePrefix="0" xfId="0">
      <alignment horizontal="center" vertical="top"/>
      <protection locked="1" hidden="1"/>
    </xf>
    <xf numFmtId="0" fontId="3" fillId="2" borderId="77" applyProtection="1" pivotButton="0" quotePrefix="0" xfId="0">
      <protection locked="1" hidden="1"/>
    </xf>
    <xf numFmtId="0" fontId="3" fillId="2" borderId="75" applyProtection="1" pivotButton="0" quotePrefix="0" xfId="0">
      <protection locked="1" hidden="1"/>
    </xf>
    <xf numFmtId="49" fontId="3" fillId="3" borderId="0" applyAlignment="1" applyProtection="1" pivotButton="0" quotePrefix="0" xfId="0">
      <alignment wrapText="1"/>
      <protection locked="1" hidden="1"/>
    </xf>
    <xf numFmtId="49" fontId="3" fillId="3" borderId="0" applyAlignment="1" applyProtection="1" pivotButton="0" quotePrefix="0" xfId="0">
      <alignment vertical="top" wrapText="1"/>
      <protection locked="1" hidden="1"/>
    </xf>
    <xf numFmtId="49" fontId="5" fillId="3" borderId="0" applyAlignment="1" applyProtection="1" pivotButton="0" quotePrefix="0" xfId="0">
      <alignment vertical="top" wrapText="1"/>
      <protection locked="1" hidden="1"/>
    </xf>
    <xf numFmtId="49" fontId="13" fillId="3" borderId="0" applyAlignment="1" applyProtection="1" pivotButton="0" quotePrefix="0" xfId="2">
      <alignment vertical="top" wrapText="1"/>
      <protection locked="1" hidden="1"/>
    </xf>
    <xf numFmtId="49" fontId="3" fillId="3" borderId="0" applyAlignment="1" applyProtection="1" pivotButton="0" quotePrefix="0" xfId="0">
      <alignment vertical="center" wrapText="1"/>
      <protection locked="1" hidden="1"/>
    </xf>
    <xf numFmtId="14" fontId="3" fillId="3" borderId="0" applyAlignment="1" applyProtection="1" pivotButton="0" quotePrefix="0" xfId="0">
      <alignment horizontal="left"/>
      <protection locked="1" hidden="1"/>
    </xf>
    <xf numFmtId="0" fontId="3" fillId="5" borderId="70" applyProtection="1" pivotButton="0" quotePrefix="0" xfId="0">
      <protection locked="0" hidden="0"/>
    </xf>
    <xf numFmtId="0" fontId="3" fillId="5" borderId="78" applyProtection="1" pivotButton="0" quotePrefix="0" xfId="0">
      <protection locked="0" hidden="0"/>
    </xf>
    <xf numFmtId="0" fontId="3" fillId="5" borderId="73" applyProtection="1" pivotButton="0" quotePrefix="0" xfId="0">
      <protection locked="0" hidden="0"/>
    </xf>
    <xf numFmtId="10" fontId="9" fillId="3" borderId="53" applyProtection="1" pivotButton="0" quotePrefix="0" xfId="0">
      <protection locked="1" hidden="1"/>
    </xf>
    <xf numFmtId="1" fontId="9" fillId="3" borderId="53" applyProtection="1" pivotButton="0" quotePrefix="0" xfId="0">
      <protection locked="1" hidden="1"/>
    </xf>
    <xf numFmtId="0" fontId="3" fillId="3" borderId="72" applyAlignment="1" applyProtection="1" pivotButton="0" quotePrefix="0" xfId="0">
      <alignment horizontal="center" vertical="top"/>
      <protection locked="1" hidden="1"/>
    </xf>
    <xf numFmtId="0" fontId="3" fillId="3" borderId="79" applyAlignment="1" applyProtection="1" pivotButton="0" quotePrefix="0" xfId="0">
      <alignment horizontal="center" vertical="top"/>
      <protection locked="1" hidden="1"/>
    </xf>
    <xf numFmtId="0" fontId="3" fillId="3" borderId="75" applyAlignment="1" applyProtection="1" pivotButton="0" quotePrefix="0" xfId="0">
      <alignment horizontal="center" vertical="top"/>
      <protection locked="1" hidden="1"/>
    </xf>
    <xf numFmtId="0" fontId="3" fillId="2" borderId="0" applyProtection="1" pivotButton="0" quotePrefix="0" xfId="0">
      <protection locked="1" hidden="1"/>
    </xf>
    <xf numFmtId="0" fontId="3" fillId="3" borderId="20" applyProtection="1" pivotButton="0" quotePrefix="0" xfId="0">
      <protection locked="1" hidden="1"/>
    </xf>
    <xf numFmtId="0" fontId="3" fillId="3" borderId="22" applyProtection="1" pivotButton="0" quotePrefix="0" xfId="0">
      <protection locked="1" hidden="1"/>
    </xf>
    <xf numFmtId="0" fontId="3" fillId="3" borderId="29" applyProtection="1" pivotButton="0" quotePrefix="0" xfId="0">
      <protection locked="1" hidden="1"/>
    </xf>
    <xf numFmtId="0" fontId="9" fillId="3" borderId="80" applyProtection="1" pivotButton="0" quotePrefix="0" xfId="0">
      <protection locked="1" hidden="1"/>
    </xf>
    <xf numFmtId="0" fontId="11" fillId="3" borderId="13" applyProtection="1" pivotButton="0" quotePrefix="0" xfId="0">
      <protection locked="1" hidden="1"/>
    </xf>
    <xf numFmtId="0" fontId="10" fillId="2" borderId="65" applyAlignment="1" applyProtection="1" pivotButton="0" quotePrefix="0" xfId="0">
      <alignment horizontal="left"/>
      <protection locked="1" hidden="1"/>
    </xf>
    <xf numFmtId="0" fontId="10" fillId="2" borderId="3" applyProtection="1" pivotButton="0" quotePrefix="0" xfId="0">
      <protection locked="1" hidden="1"/>
    </xf>
    <xf numFmtId="0" fontId="10" fillId="2" borderId="81" applyProtection="1" pivotButton="0" quotePrefix="0" xfId="0">
      <protection locked="1" hidden="1"/>
    </xf>
    <xf numFmtId="0" fontId="9" fillId="2" borderId="7" applyAlignment="1" applyProtection="1" pivotButton="0" quotePrefix="0" xfId="0">
      <alignment horizontal="left"/>
      <protection locked="1" hidden="1"/>
    </xf>
    <xf numFmtId="0" fontId="9" fillId="2" borderId="6" applyProtection="1" pivotButton="0" quotePrefix="0" xfId="0">
      <protection locked="1" hidden="1"/>
    </xf>
    <xf numFmtId="0" fontId="9" fillId="2" borderId="82" applyProtection="1" pivotButton="0" quotePrefix="0" xfId="0">
      <protection locked="1" hidden="1"/>
    </xf>
    <xf numFmtId="0" fontId="10" fillId="2" borderId="8" applyProtection="1" pivotButton="0" quotePrefix="0" xfId="0">
      <protection locked="1" hidden="1"/>
    </xf>
    <xf numFmtId="0" fontId="9" fillId="2" borderId="13" applyProtection="1" pivotButton="0" quotePrefix="0" xfId="0">
      <protection locked="1" hidden="1"/>
    </xf>
    <xf numFmtId="0" fontId="3" fillId="5" borderId="45" applyAlignment="1" applyProtection="1" pivotButton="0" quotePrefix="0" xfId="0">
      <alignment horizontal="left"/>
      <protection locked="0" hidden="0"/>
    </xf>
    <xf numFmtId="0" fontId="14" fillId="4" borderId="0" applyProtection="1" pivotButton="0" quotePrefix="0" xfId="0">
      <protection locked="1" hidden="1"/>
    </xf>
    <xf numFmtId="0" fontId="14" fillId="6" borderId="0" applyAlignment="1" applyProtection="1" pivotButton="0" quotePrefix="0" xfId="0">
      <alignment vertical="top" wrapText="1"/>
      <protection locked="1" hidden="1"/>
    </xf>
    <xf numFmtId="0" fontId="15" fillId="4" borderId="0" applyProtection="1" pivotButton="0" quotePrefix="0" xfId="0">
      <protection locked="1" hidden="1"/>
    </xf>
    <xf numFmtId="2" fontId="15" fillId="4" borderId="0" applyProtection="1" pivotButton="0" quotePrefix="0" xfId="0">
      <protection locked="1" hidden="1"/>
    </xf>
    <xf numFmtId="0" fontId="3" fillId="5" borderId="1" applyProtection="1" pivotButton="0" quotePrefix="0" xfId="0">
      <protection locked="1" hidden="1"/>
    </xf>
    <xf numFmtId="0" fontId="3" fillId="7" borderId="77" applyProtection="1" pivotButton="0" quotePrefix="0" xfId="0">
      <protection locked="1" hidden="1"/>
    </xf>
    <xf numFmtId="2" fontId="3" fillId="5" borderId="62" applyProtection="1" pivotButton="0" quotePrefix="0" xfId="0">
      <protection locked="0" hidden="0"/>
    </xf>
    <xf numFmtId="2" fontId="3" fillId="5" borderId="83" applyProtection="1" pivotButton="0" quotePrefix="0" xfId="0">
      <protection locked="0" hidden="0"/>
    </xf>
    <xf numFmtId="0" fontId="5" fillId="7" borderId="76" applyProtection="1" pivotButton="0" quotePrefix="0" xfId="0">
      <protection locked="1" hidden="1"/>
    </xf>
    <xf numFmtId="0" fontId="3" fillId="5" borderId="76" applyProtection="1" pivotButton="0" quotePrefix="0" xfId="0">
      <protection locked="0" hidden="0"/>
    </xf>
    <xf numFmtId="0" fontId="3" fillId="5" borderId="84" applyProtection="1" pivotButton="0" quotePrefix="0" xfId="0">
      <protection locked="0" hidden="0"/>
    </xf>
    <xf numFmtId="0" fontId="3" fillId="5" borderId="77" applyProtection="1" pivotButton="0" quotePrefix="0" xfId="0">
      <protection locked="0" hidden="0"/>
    </xf>
    <xf numFmtId="10" fontId="3" fillId="5" borderId="56" applyAlignment="1" applyProtection="1" pivotButton="0" quotePrefix="0" xfId="0">
      <alignment horizontal="left"/>
      <protection locked="0" hidden="0"/>
    </xf>
    <xf numFmtId="2" fontId="3" fillId="5" borderId="50" applyAlignment="1" applyProtection="1" pivotButton="0" quotePrefix="0" xfId="0">
      <alignment horizontal="left"/>
      <protection locked="0" hidden="0"/>
    </xf>
    <xf numFmtId="10" fontId="3" fillId="0" borderId="43" applyAlignment="1" applyProtection="1" pivotButton="0" quotePrefix="0" xfId="1">
      <alignment horizontal="left"/>
      <protection locked="1" hidden="1"/>
    </xf>
    <xf numFmtId="10" fontId="3" fillId="0" borderId="44" applyAlignment="1" applyProtection="1" pivotButton="0" quotePrefix="0" xfId="0">
      <alignment horizontal="left"/>
      <protection locked="1" hidden="1"/>
    </xf>
    <xf numFmtId="165" fontId="3" fillId="5" borderId="8" applyAlignment="1" applyProtection="1" pivotButton="0" quotePrefix="0" xfId="0">
      <alignment horizontal="center"/>
      <protection locked="0" hidden="0"/>
    </xf>
    <xf numFmtId="165" fontId="3" fillId="5" borderId="85" applyAlignment="1" applyProtection="1" pivotButton="0" quotePrefix="0" xfId="0">
      <alignment horizontal="center"/>
      <protection locked="0" hidden="0"/>
    </xf>
    <xf numFmtId="0" fontId="16" fillId="3" borderId="0" applyAlignment="1" applyProtection="1" pivotButton="0" quotePrefix="0" xfId="0">
      <alignment horizontal="left"/>
      <protection locked="1" hidden="1"/>
    </xf>
    <xf numFmtId="14" fontId="16" fillId="3" borderId="0" applyAlignment="1" applyProtection="1" pivotButton="0" quotePrefix="0" xfId="0">
      <alignment horizontal="left"/>
      <protection locked="1" hidden="1"/>
    </xf>
    <xf numFmtId="10" fontId="3" fillId="4" borderId="0" applyProtection="1" pivotButton="0" quotePrefix="0" xfId="0">
      <protection locked="1" hidden="1"/>
    </xf>
    <xf numFmtId="167" fontId="14" fillId="4" borderId="0" applyProtection="1" pivotButton="0" quotePrefix="0" xfId="0">
      <protection locked="1" hidden="1"/>
    </xf>
    <xf numFmtId="0" fontId="6" fillId="3" borderId="0" applyAlignment="1" applyProtection="1" pivotButton="0" quotePrefix="0" xfId="0">
      <alignment horizontal="left"/>
      <protection locked="1" hidden="1"/>
    </xf>
    <xf numFmtId="0" fontId="3" fillId="5" borderId="27" applyAlignment="1" applyProtection="1" pivotButton="0" quotePrefix="0" xfId="0">
      <alignment horizontal="left"/>
      <protection locked="0" hidden="0"/>
    </xf>
    <xf numFmtId="0" fontId="3" fillId="5" borderId="69" applyAlignment="1" applyProtection="1" pivotButton="0" quotePrefix="0" xfId="0">
      <alignment horizontal="left"/>
      <protection locked="0" hidden="0"/>
    </xf>
    <xf numFmtId="0" fontId="3" fillId="5" borderId="23" applyAlignment="1" applyProtection="1" pivotButton="0" quotePrefix="0" xfId="0">
      <alignment horizontal="left"/>
      <protection locked="0" hidden="0"/>
    </xf>
    <xf numFmtId="0" fontId="3" fillId="5" borderId="64" applyAlignment="1" applyProtection="1" pivotButton="0" quotePrefix="0" xfId="0">
      <alignment horizontal="left"/>
      <protection locked="0" hidden="0"/>
    </xf>
    <xf numFmtId="0" fontId="3" fillId="5" borderId="24" applyAlignment="1" applyProtection="1" pivotButton="0" quotePrefix="0" xfId="0">
      <alignment horizontal="left"/>
      <protection locked="0" hidden="0"/>
    </xf>
    <xf numFmtId="0" fontId="3" fillId="3" borderId="0" applyAlignment="1" applyProtection="1" pivotButton="0" quotePrefix="0" xfId="0">
      <alignment horizontal="right"/>
      <protection locked="1" hidden="1"/>
    </xf>
    <xf numFmtId="0" fontId="11" fillId="3" borderId="86" applyAlignment="1" applyProtection="1" pivotButton="0" quotePrefix="0" xfId="0">
      <alignment horizontal="left"/>
      <protection locked="1" hidden="1"/>
    </xf>
    <xf numFmtId="0" fontId="11" fillId="3" borderId="0" applyProtection="1" pivotButton="0" quotePrefix="0" xfId="0">
      <protection locked="1" hidden="1"/>
    </xf>
    <xf numFmtId="14" fontId="11" fillId="3" borderId="86" applyProtection="1" pivotButton="0" quotePrefix="0" xfId="0">
      <protection locked="1" hidden="1"/>
    </xf>
    <xf numFmtId="0" fontId="9" fillId="3" borderId="86" applyProtection="1" pivotButton="0" quotePrefix="0" xfId="0">
      <protection locked="1" hidden="1"/>
    </xf>
    <xf numFmtId="0" fontId="11" fillId="3" borderId="87" applyAlignment="1" applyProtection="1" pivotButton="0" quotePrefix="0" xfId="0">
      <alignment horizontal="left"/>
      <protection locked="1" hidden="1"/>
    </xf>
    <xf numFmtId="0" fontId="11" fillId="3" borderId="88" applyProtection="1" pivotButton="0" quotePrefix="0" xfId="0">
      <protection locked="1" hidden="1"/>
    </xf>
    <xf numFmtId="14" fontId="11" fillId="3" borderId="87" applyProtection="1" pivotButton="0" quotePrefix="0" xfId="0">
      <protection locked="1" hidden="1"/>
    </xf>
    <xf numFmtId="0" fontId="9" fillId="3" borderId="87" applyProtection="1" pivotButton="0" quotePrefix="0" xfId="0">
      <protection locked="1" hidden="1"/>
    </xf>
    <xf numFmtId="0" fontId="10" fillId="3" borderId="7" applyAlignment="1" applyProtection="1" pivotButton="0" quotePrefix="0" xfId="0">
      <alignment horizontal="left"/>
      <protection locked="1" hidden="1"/>
    </xf>
    <xf numFmtId="0" fontId="10" fillId="3" borderId="6" applyProtection="1" pivotButton="0" quotePrefix="0" xfId="0">
      <protection locked="1" hidden="1"/>
    </xf>
    <xf numFmtId="0" fontId="10" fillId="3" borderId="82" applyProtection="1" pivotButton="0" quotePrefix="0" xfId="0">
      <protection locked="1" hidden="1"/>
    </xf>
    <xf numFmtId="0" fontId="10" fillId="3" borderId="13" applyProtection="1" pivotButton="0" quotePrefix="0" xfId="0">
      <protection locked="1" hidden="1"/>
    </xf>
    <xf numFmtId="0" fontId="9" fillId="3" borderId="0" applyAlignment="1" applyProtection="1" pivotButton="0" quotePrefix="0" xfId="0">
      <alignment horizontal="right"/>
      <protection locked="1" hidden="1"/>
    </xf>
    <xf numFmtId="49" fontId="3" fillId="3" borderId="0" applyAlignment="1" applyProtection="1" pivotButton="0" quotePrefix="0" xfId="2">
      <alignment horizontal="left"/>
      <protection locked="1" hidden="1"/>
    </xf>
    <xf numFmtId="14" fontId="11" fillId="3" borderId="82" applyProtection="1" pivotButton="0" quotePrefix="0" xfId="0">
      <protection locked="1" hidden="1"/>
    </xf>
    <xf numFmtId="49" fontId="18" fillId="3" borderId="0" applyAlignment="1" applyProtection="1" pivotButton="0" quotePrefix="0" xfId="2">
      <alignment vertical="top" wrapText="1"/>
      <protection locked="1" hidden="1"/>
    </xf>
    <xf numFmtId="49" fontId="16" fillId="3" borderId="0" applyAlignment="1" applyProtection="1" pivotButton="0" quotePrefix="0" xfId="0">
      <alignment horizontal="right" vertical="top" wrapText="1"/>
      <protection locked="1" hidden="1"/>
    </xf>
    <xf numFmtId="0" fontId="3" fillId="5" borderId="0" applyAlignment="1" applyProtection="1" pivotButton="0" quotePrefix="0" xfId="0">
      <alignment horizontal="center" vertical="center"/>
      <protection locked="0" hidden="0"/>
    </xf>
    <xf numFmtId="14" fontId="3" fillId="5" borderId="0" applyAlignment="1" applyProtection="1" pivotButton="0" quotePrefix="0" xfId="0">
      <alignment horizontal="center" vertical="center"/>
      <protection locked="0" hidden="0"/>
    </xf>
    <xf numFmtId="0" fontId="6" fillId="3" borderId="0" applyAlignment="1" applyProtection="1" pivotButton="0" quotePrefix="0" xfId="0">
      <alignment horizontal="center" vertical="center" wrapText="1"/>
      <protection locked="1" hidden="1"/>
    </xf>
    <xf numFmtId="0" fontId="3" fillId="3" borderId="0" applyAlignment="1" applyProtection="1" pivotButton="0" quotePrefix="0" xfId="0">
      <alignment horizontal="left"/>
      <protection locked="0" hidden="0"/>
    </xf>
    <xf numFmtId="0" fontId="3" fillId="4" borderId="0" applyAlignment="1" applyProtection="1" pivotButton="0" quotePrefix="0" xfId="0">
      <alignment horizontal="right"/>
      <protection locked="1" hidden="1"/>
    </xf>
    <xf numFmtId="49" fontId="5" fillId="2" borderId="0" applyAlignment="1" applyProtection="1" pivotButton="0" quotePrefix="0" xfId="0">
      <alignment horizontal="center" vertical="center" wrapText="1"/>
      <protection locked="1" hidden="1"/>
    </xf>
    <xf numFmtId="49" fontId="12" fillId="3" borderId="0" applyAlignment="1" applyProtection="1" pivotButton="0" quotePrefix="0" xfId="0">
      <alignment horizontal="left" wrapText="1"/>
      <protection locked="1" hidden="1"/>
    </xf>
    <xf numFmtId="49" fontId="3" fillId="3" borderId="0" applyAlignment="1" applyProtection="1" pivotButton="0" quotePrefix="0" xfId="0">
      <alignment horizontal="justify" vertical="top" wrapText="1"/>
      <protection locked="1" hidden="1"/>
    </xf>
    <xf numFmtId="49" fontId="3" fillId="3" borderId="0" applyAlignment="1" applyProtection="1" pivotButton="0" quotePrefix="0" xfId="0">
      <alignment horizontal="left" vertical="top" wrapText="1"/>
      <protection locked="1" hidden="1"/>
    </xf>
    <xf numFmtId="49" fontId="5" fillId="3" borderId="0" applyAlignment="1" applyProtection="1" pivotButton="0" quotePrefix="0" xfId="0">
      <alignment vertical="top" wrapText="1"/>
      <protection locked="1" hidden="1"/>
    </xf>
    <xf numFmtId="49" fontId="3" fillId="3" borderId="0" applyAlignment="1" applyProtection="1" pivotButton="0" quotePrefix="0" xfId="0">
      <alignment vertical="top" wrapText="1"/>
      <protection locked="1" hidden="1"/>
    </xf>
    <xf numFmtId="49" fontId="5" fillId="3" borderId="0" applyAlignment="1" applyProtection="1" pivotButton="0" quotePrefix="0" xfId="0">
      <alignment horizontal="left" vertical="top" wrapText="1"/>
      <protection locked="1" hidden="1"/>
    </xf>
    <xf numFmtId="49" fontId="7" fillId="3" borderId="0" applyAlignment="1" applyProtection="1" pivotButton="0" quotePrefix="0" xfId="0">
      <alignment horizontal="left" vertical="center" wrapText="1"/>
      <protection locked="1" hidden="1"/>
    </xf>
    <xf numFmtId="14" fontId="3" fillId="5" borderId="26" applyAlignment="1" applyProtection="1" pivotButton="0" quotePrefix="0" xfId="0">
      <alignment horizontal="left"/>
      <protection locked="0" hidden="0"/>
    </xf>
    <xf numFmtId="14" fontId="3" fillId="5" borderId="19" applyAlignment="1" applyProtection="1" pivotButton="0" quotePrefix="0" xfId="0">
      <alignment horizontal="left"/>
      <protection locked="0" hidden="0"/>
    </xf>
    <xf numFmtId="10" fontId="3" fillId="3" borderId="58" applyAlignment="1" applyProtection="1" pivotButton="0" quotePrefix="0" xfId="0">
      <alignment horizontal="left"/>
      <protection locked="1" hidden="1"/>
    </xf>
    <xf numFmtId="10" fontId="3" fillId="3" borderId="41" applyAlignment="1" applyProtection="1" pivotButton="0" quotePrefix="0" xfId="0">
      <alignment horizontal="left"/>
      <protection locked="1" hidden="1"/>
    </xf>
    <xf numFmtId="0" fontId="3" fillId="5" borderId="28" applyAlignment="1" applyProtection="1" pivotButton="0" quotePrefix="0" xfId="0">
      <alignment horizontal="center"/>
      <protection locked="0" hidden="0"/>
    </xf>
    <xf numFmtId="0" fontId="3" fillId="5" borderId="18" applyAlignment="1" applyProtection="1" pivotButton="0" quotePrefix="0" xfId="0">
      <alignment horizontal="center"/>
      <protection locked="0" hidden="0"/>
    </xf>
    <xf numFmtId="0" fontId="3" fillId="2" borderId="60" applyAlignment="1" applyProtection="1" pivotButton="0" quotePrefix="0" xfId="0">
      <alignment horizontal="left"/>
      <protection locked="1" hidden="1"/>
    </xf>
    <xf numFmtId="0" fontId="3" fillId="2" borderId="41" applyAlignment="1" applyProtection="1" pivotButton="0" quotePrefix="0" xfId="0">
      <alignment horizontal="left"/>
      <protection locked="1" hidden="1"/>
    </xf>
    <xf numFmtId="14" fontId="3" fillId="5" borderId="67" applyAlignment="1" applyProtection="1" pivotButton="0" quotePrefix="0" xfId="0">
      <alignment horizontal="left"/>
      <protection locked="0" hidden="0"/>
    </xf>
    <xf numFmtId="14" fontId="3" fillId="5" borderId="68" applyAlignment="1" applyProtection="1" pivotButton="0" quotePrefix="0" xfId="0">
      <alignment horizontal="left"/>
      <protection locked="0" hidden="0"/>
    </xf>
    <xf numFmtId="14" fontId="3" fillId="5" borderId="2" applyAlignment="1" applyProtection="1" pivotButton="0" quotePrefix="0" xfId="0">
      <alignment horizontal="left"/>
      <protection locked="0" hidden="0"/>
    </xf>
    <xf numFmtId="14" fontId="3" fillId="5" borderId="25" applyAlignment="1" applyProtection="1" pivotButton="0" quotePrefix="0" xfId="0">
      <alignment horizontal="left"/>
      <protection locked="0" hidden="0"/>
    </xf>
    <xf numFmtId="0" fontId="3" fillId="5" borderId="1" applyAlignment="1" applyProtection="1" pivotButton="0" quotePrefix="0" xfId="0">
      <alignment horizontal="left"/>
      <protection locked="0" hidden="0"/>
    </xf>
    <xf numFmtId="0" fontId="3" fillId="5" borderId="1" applyAlignment="1" applyProtection="1" pivotButton="0" quotePrefix="0" xfId="0">
      <alignment horizontal="left" wrapText="1"/>
      <protection locked="0" hidden="0"/>
    </xf>
    <xf numFmtId="0" fontId="3" fillId="5" borderId="13" applyAlignment="1" applyProtection="1" pivotButton="0" quotePrefix="0" xfId="0">
      <alignment horizontal="left"/>
      <protection locked="0" hidden="0"/>
    </xf>
    <xf numFmtId="0" fontId="5" fillId="2" borderId="28" applyAlignment="1" applyProtection="1" pivotButton="0" quotePrefix="0" xfId="0">
      <alignment horizontal="left"/>
      <protection locked="1" hidden="1"/>
    </xf>
    <xf numFmtId="0" fontId="5" fillId="2" borderId="18" applyAlignment="1" applyProtection="1" pivotButton="0" quotePrefix="0" xfId="0">
      <alignment horizontal="left"/>
      <protection locked="1" hidden="1"/>
    </xf>
    <xf numFmtId="0" fontId="3" fillId="3" borderId="0" applyAlignment="1" applyProtection="1" pivotButton="0" quotePrefix="0" xfId="0">
      <alignment horizontal="right"/>
      <protection locked="1" hidden="1"/>
    </xf>
    <xf numFmtId="49" fontId="17" fillId="3" borderId="0" applyAlignment="1" applyProtection="1" pivotButton="0" quotePrefix="0" xfId="2">
      <alignment horizontal="left"/>
      <protection locked="1" hidden="1"/>
    </xf>
    <xf numFmtId="0" fontId="9" fillId="3" borderId="0" applyAlignment="1" applyProtection="1" pivotButton="0" quotePrefix="0" xfId="0">
      <alignment horizontal="left" wrapText="1"/>
      <protection locked="1" hidden="1"/>
    </xf>
    <xf numFmtId="0" fontId="9" fillId="3" borderId="0" applyAlignment="1" applyProtection="1" pivotButton="0" quotePrefix="0" xfId="0">
      <alignment horizontal="right"/>
      <protection locked="1" hidden="1"/>
    </xf>
    <xf numFmtId="0" fontId="0" fillId="0" borderId="0" applyProtection="1" pivotButton="0" quotePrefix="0" xfId="0">
      <protection locked="1" hidden="1"/>
    </xf>
    <xf numFmtId="0" fontId="3" fillId="5" borderId="15" applyAlignment="1" applyProtection="1" pivotButton="0" quotePrefix="0" xfId="0">
      <alignment horizontal="center"/>
      <protection locked="0" hidden="0"/>
    </xf>
    <xf numFmtId="0" fontId="0" fillId="0" borderId="18" applyProtection="1" pivotButton="0" quotePrefix="0" xfId="0">
      <protection locked="0" hidden="0"/>
    </xf>
    <xf numFmtId="0" fontId="3" fillId="2" borderId="91" applyAlignment="1" applyProtection="1" pivotButton="0" quotePrefix="0" xfId="0">
      <alignment horizontal="left"/>
      <protection locked="1" hidden="1"/>
    </xf>
    <xf numFmtId="0" fontId="0" fillId="0" borderId="41" applyProtection="1" pivotButton="0" quotePrefix="0" xfId="0">
      <protection locked="1" hidden="1"/>
    </xf>
    <xf numFmtId="0" fontId="0" fillId="0" borderId="82" applyProtection="1" pivotButton="0" quotePrefix="0" xfId="0">
      <protection locked="0" hidden="0"/>
    </xf>
    <xf numFmtId="0" fontId="0" fillId="0" borderId="93" applyProtection="1" pivotButton="0" quotePrefix="0" xfId="0">
      <protection locked="0" hidden="0"/>
    </xf>
    <xf numFmtId="165" fontId="3" fillId="5" borderId="13" applyAlignment="1" applyProtection="1" pivotButton="0" quotePrefix="0" xfId="0">
      <alignment horizontal="center"/>
      <protection locked="0" hidden="0"/>
    </xf>
    <xf numFmtId="165" fontId="3" fillId="5" borderId="14" applyAlignment="1" applyProtection="1" pivotButton="0" quotePrefix="0" xfId="0">
      <alignment horizontal="center"/>
      <protection locked="0" hidden="0"/>
    </xf>
    <xf numFmtId="165" fontId="3" fillId="5" borderId="1" applyAlignment="1" applyProtection="1" pivotButton="0" quotePrefix="0" xfId="0">
      <alignment horizontal="center"/>
      <protection locked="0" hidden="0"/>
    </xf>
    <xf numFmtId="165" fontId="3" fillId="5" borderId="10" applyAlignment="1" applyProtection="1" pivotButton="0" quotePrefix="0" xfId="0">
      <alignment horizontal="center"/>
      <protection locked="0" hidden="0"/>
    </xf>
    <xf numFmtId="165" fontId="3" fillId="5" borderId="8" applyAlignment="1" applyProtection="1" pivotButton="0" quotePrefix="0" xfId="0">
      <alignment horizontal="center"/>
      <protection locked="0" hidden="0"/>
    </xf>
    <xf numFmtId="165" fontId="3" fillId="5" borderId="85" applyAlignment="1" applyProtection="1" pivotButton="0" quotePrefix="0" xfId="0">
      <alignment horizontal="center"/>
      <protection locked="0" hidden="0"/>
    </xf>
    <xf numFmtId="165" fontId="3" fillId="5" borderId="11" applyAlignment="1" applyProtection="1" pivotButton="0" quotePrefix="0" xfId="0">
      <alignment horizontal="center"/>
      <protection locked="0" hidden="0"/>
    </xf>
    <xf numFmtId="165" fontId="3" fillId="5" borderId="12" applyAlignment="1" applyProtection="1" pivotButton="0" quotePrefix="0" xfId="0">
      <alignment horizontal="center"/>
      <protection locked="0" hidden="0"/>
    </xf>
    <xf numFmtId="0" fontId="0" fillId="0" borderId="18" applyProtection="1" pivotButton="0" quotePrefix="0" xfId="0">
      <protection locked="1" hidden="1"/>
    </xf>
    <xf numFmtId="14" fontId="3" fillId="5" borderId="92" applyAlignment="1" applyProtection="1" pivotButton="0" quotePrefix="0" xfId="0">
      <alignment horizontal="left"/>
      <protection locked="0" hidden="0"/>
    </xf>
    <xf numFmtId="0" fontId="0" fillId="0" borderId="68" applyProtection="1" pivotButton="0" quotePrefix="0" xfId="0">
      <protection locked="0" hidden="0"/>
    </xf>
    <xf numFmtId="14" fontId="3" fillId="5" borderId="10" applyAlignment="1" applyProtection="1" pivotButton="0" quotePrefix="0" xfId="0">
      <alignment horizontal="left"/>
      <protection locked="0" hidden="0"/>
    </xf>
    <xf numFmtId="0" fontId="0" fillId="0" borderId="25" applyProtection="1" pivotButton="0" quotePrefix="0" xfId="0">
      <protection locked="0" hidden="0"/>
    </xf>
    <xf numFmtId="14" fontId="3" fillId="5" borderId="12" applyAlignment="1" applyProtection="1" pivotButton="0" quotePrefix="0" xfId="0">
      <alignment horizontal="left"/>
      <protection locked="0" hidden="0"/>
    </xf>
    <xf numFmtId="0" fontId="0" fillId="0" borderId="19" applyProtection="1" pivotButton="0" quotePrefix="0" xfId="0">
      <protection locked="0" hidden="0"/>
    </xf>
    <xf numFmtId="10" fontId="3" fillId="3" borderId="66" applyAlignment="1" applyProtection="1" pivotButton="0" quotePrefix="0" xfId="0">
      <alignment horizontal="left"/>
      <protection locked="1" hidden="1"/>
    </xf>
    <xf numFmtId="164" fontId="5" fillId="3" borderId="49" applyAlignment="1" applyProtection="1" pivotButton="0" quotePrefix="0" xfId="1">
      <alignment horizontal="left"/>
      <protection locked="1" hidden="1"/>
    </xf>
    <xf numFmtId="164" fontId="5" fillId="3" borderId="50" applyAlignment="1" applyProtection="1" pivotButton="0" quotePrefix="0" xfId="1">
      <alignment horizontal="left"/>
      <protection locked="1" hidden="1"/>
    </xf>
    <xf numFmtId="168" fontId="3" fillId="3" borderId="1" applyProtection="1" pivotButton="0" quotePrefix="0" xfId="0">
      <protection locked="0" hidden="0"/>
    </xf>
    <xf numFmtId="0" fontId="0" fillId="0" borderId="0" applyProtection="1" pivotButton="0" quotePrefix="0" xfId="0">
      <protection locked="0" hidden="0"/>
    </xf>
    <xf numFmtId="166" fontId="3" fillId="0" borderId="0" applyAlignment="1" applyProtection="1" pivotButton="0" quotePrefix="0" xfId="0">
      <alignment horizontal="right" vertical="center"/>
      <protection locked="1" hidden="1"/>
    </xf>
    <xf numFmtId="167" fontId="14" fillId="4" borderId="0" applyProtection="1" pivotButton="0" quotePrefix="0" xfId="0">
      <protection locked="1" hidden="1"/>
    </xf>
    <xf numFmtId="166" fontId="3" fillId="0" borderId="6" applyAlignment="1" applyProtection="1" pivotButton="0" quotePrefix="0" xfId="0">
      <alignment horizontal="right" vertical="center"/>
      <protection locked="1" hidden="1"/>
    </xf>
    <xf numFmtId="166" fontId="5" fillId="0" borderId="0" applyAlignment="1" applyProtection="1" pivotButton="0" quotePrefix="0" xfId="0">
      <alignment horizontal="right" vertical="center"/>
      <protection locked="1" hidden="1"/>
    </xf>
    <xf numFmtId="164" fontId="3" fillId="3" borderId="0" applyAlignment="1" applyProtection="1" pivotButton="0" quotePrefix="0" xfId="1">
      <alignment vertical="center"/>
      <protection locked="1" hidden="1"/>
    </xf>
    <xf numFmtId="164" fontId="3" fillId="3" borderId="0" applyAlignment="1" applyProtection="1" pivotButton="0" quotePrefix="0" xfId="0">
      <alignment vertical="center"/>
      <protection locked="1" hidden="1"/>
    </xf>
    <xf numFmtId="166" fontId="5" fillId="0" borderId="3" applyAlignment="1" applyProtection="1" pivotButton="0" quotePrefix="0" xfId="0">
      <alignment horizontal="right" vertical="center"/>
      <protection locked="1" hidden="1"/>
    </xf>
    <xf numFmtId="166" fontId="3" fillId="0" borderId="31" applyAlignment="1" applyProtection="1" pivotButton="0" quotePrefix="0" xfId="0">
      <alignment horizontal="right" vertical="center"/>
      <protection locked="1" hidden="1"/>
    </xf>
    <xf numFmtId="166" fontId="5" fillId="3" borderId="0" applyAlignment="1" applyProtection="1" pivotButton="0" quotePrefix="0" xfId="0">
      <alignment horizontal="right" vertical="center"/>
      <protection locked="1" hidden="1"/>
    </xf>
  </cellXfs>
  <cellStyles count="3">
    <cellStyle name="Normal" xfId="0" builtinId="0"/>
    <cellStyle name="Pourcentage" xfId="1" builtinId="5"/>
    <cellStyle name="Lien hypertexte" xfId="2" builtinId="8"/>
  </cellStyles>
  <dxfs count="18">
    <dxf>
      <font>
        <color theme="0"/>
      </font>
    </dxf>
    <dxf>
      <font>
        <color theme="0"/>
      </font>
    </dxf>
    <dxf>
      <font>
        <color theme="0"/>
      </font>
      <fill>
        <patternFill patternType="solid">
          <bgColor theme="0"/>
        </patternFill>
      </fill>
      <border>
        <left style="thin">
          <color theme="0"/>
        </left>
        <right style="thin">
          <color theme="0"/>
        </right>
        <top style="thin">
          <color theme="0"/>
        </top>
        <bottom style="thin">
          <color theme="0"/>
        </bottom>
      </border>
    </dxf>
    <dxf>
      <font>
        <color theme="0"/>
      </font>
      <fill>
        <patternFill patternType="solid">
          <bgColor theme="0"/>
        </patternFill>
      </fill>
      <border>
        <left style="thin">
          <color theme="0"/>
        </left>
        <right style="thin">
          <color theme="0"/>
        </right>
        <top style="thin">
          <color theme="0"/>
        </top>
        <bottom style="thin">
          <color theme="0"/>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theme="0"/>
      </font>
    </dxf>
    <dxf>
      <font/>
      <fill>
        <patternFill>
          <bgColor theme="7" tint="0.7999816888943144"/>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s://www.ahv-iv.ch/fr/Contacts/Caisses-cantonales-de-compensation" TargetMode="External" Id="rId1" /></Relationships>
</file>

<file path=xl/worksheets/_rels/sheet3.xml.rels><Relationships xmlns="http://schemas.openxmlformats.org/package/2006/relationships"><Relationship Type="http://schemas.openxmlformats.org/officeDocument/2006/relationships/hyperlink" Target="https://pro.lanterne-magique.org/portail/registre-artistes" TargetMode="External" Id="rId1" /></Relationships>
</file>

<file path=xl/worksheets/sheet1.xml><?xml version="1.0" encoding="utf-8"?>
<worksheet xmlns="http://schemas.openxmlformats.org/spreadsheetml/2006/main">
  <sheetPr>
    <outlinePr summaryBelow="1" summaryRight="1"/>
    <pageSetUpPr fitToPage="1"/>
  </sheetPr>
  <dimension ref="B2:H32"/>
  <sheetViews>
    <sheetView zoomScale="110" zoomScaleNormal="110" workbookViewId="0">
      <selection activeCell="B21" sqref="B21"/>
    </sheetView>
  </sheetViews>
  <sheetFormatPr baseColWidth="10" defaultRowHeight="14"/>
  <cols>
    <col width="1.6640625" customWidth="1" style="213" min="1" max="1"/>
    <col width="1.83203125" customWidth="1" style="213" min="2" max="2"/>
    <col width="20.6640625" customWidth="1" style="213" min="3" max="3"/>
    <col width="13.83203125" customWidth="1" style="213" min="4" max="8"/>
    <col width="10.83203125" customWidth="1" style="213" min="9" max="16384"/>
  </cols>
  <sheetData>
    <row r="2" ht="30" customFormat="1" customHeight="1" s="132">
      <c r="B2" s="215" t="inlineStr">
        <is>
          <t>Informations</t>
        </is>
      </c>
      <c r="C2" s="237" t="n"/>
      <c r="D2" s="237" t="n"/>
      <c r="E2" s="237" t="n"/>
      <c r="F2" s="237" t="n"/>
      <c r="G2" s="237" t="n"/>
      <c r="H2" s="237" t="n"/>
    </row>
    <row r="3" ht="60" customHeight="1">
      <c r="B3" s="210" t="inlineStr">
        <is>
          <t>Le but de ce fichier est de faciliter la gestion des salaires pour les clubs de La Lanterne Magique. Il est conçu pour une utilisation sur l'année civile et non sur l'exercice comptable des clubs, compte tenu que les déclarations aux caisses cantonales de compensation ainsi que l'établissement des certificats de salaires surviennent toujours au terme de l'année civile.</t>
        </is>
      </c>
      <c r="C3" s="237" t="n"/>
      <c r="D3" s="237" t="n"/>
      <c r="E3" s="237" t="n"/>
      <c r="F3" s="237" t="n"/>
      <c r="G3" s="237" t="n"/>
      <c r="H3" s="237" t="n"/>
    </row>
    <row r="4">
      <c r="B4" s="211" t="n"/>
      <c r="C4" s="211" t="n"/>
      <c r="D4" s="211" t="n"/>
      <c r="E4" s="211" t="n"/>
      <c r="F4" s="211" t="n"/>
      <c r="G4" s="211" t="n"/>
      <c r="H4" s="211" t="n"/>
    </row>
    <row r="5" ht="20" customFormat="1" customHeight="1" s="128">
      <c r="B5" s="209" t="inlineStr">
        <is>
          <t>Avertissement</t>
        </is>
      </c>
      <c r="C5" s="237" t="n"/>
      <c r="D5" s="237" t="n"/>
      <c r="E5" s="237" t="n"/>
      <c r="F5" s="237" t="n"/>
      <c r="G5" s="237" t="n"/>
      <c r="H5" s="237" t="n"/>
    </row>
    <row r="6">
      <c r="B6" s="211" t="inlineStr">
        <is>
          <t xml:space="preserve"> Les conditions suivantes doivent impérativement être remplies pour pouvoir utiliser ce fichier:</t>
        </is>
      </c>
      <c r="C6" s="237" t="n"/>
      <c r="D6" s="237" t="n"/>
      <c r="E6" s="237" t="n"/>
      <c r="F6" s="237" t="n"/>
      <c r="G6" s="237" t="n"/>
      <c r="H6" s="237" t="n"/>
    </row>
    <row r="7" ht="47" customHeight="1">
      <c r="B7" s="211" t="n"/>
      <c r="C7" s="211" t="inlineStr">
        <is>
          <t>1. l'employeur engage exclusivement des collaborateurs·trices de nationalité suisse ou au bénéfice d'un permis de résidence (permis C);
2. le salaire d'aucun employé ne dépasse CHF 22'680.– par an.</t>
        </is>
      </c>
      <c r="D7" s="237" t="n"/>
      <c r="E7" s="237" t="n"/>
      <c r="F7" s="237" t="n"/>
      <c r="G7" s="237" t="n"/>
      <c r="H7" s="237" t="n"/>
    </row>
    <row r="9" ht="20" customFormat="1" customHeight="1" s="128">
      <c r="B9" s="209" t="inlineStr">
        <is>
          <t>Avant de commencer</t>
        </is>
      </c>
      <c r="C9" s="237" t="n"/>
      <c r="D9" s="237" t="n"/>
      <c r="E9" s="237" t="n"/>
      <c r="F9" s="237" t="n"/>
      <c r="G9" s="237" t="n"/>
      <c r="H9" s="237" t="n"/>
    </row>
    <row r="10" ht="30" customHeight="1">
      <c r="B10" s="210" t="inlineStr">
        <is>
          <t>Assurez-vous de remplir les conditions suivantes, consultez la documentation disponible sur Intranet et informez votre coordinateur·trice ASLM qui vous accompagnera dans vos démarches:</t>
        </is>
      </c>
      <c r="C10" s="237" t="n"/>
      <c r="D10" s="237" t="n"/>
      <c r="E10" s="237" t="n"/>
      <c r="F10" s="237" t="n"/>
      <c r="G10" s="237" t="n"/>
      <c r="H10" s="237" t="n"/>
    </row>
    <row r="11" ht="15" customHeight="1">
      <c r="C11" s="211" t="inlineStr">
        <is>
          <t>– Le club dispose d'une assurance accident pour ses collaborateurs·trices</t>
        </is>
      </c>
      <c r="D11" s="237" t="n"/>
      <c r="E11" s="237" t="n"/>
      <c r="F11" s="237" t="n"/>
      <c r="G11" s="237" t="n"/>
      <c r="H11" s="237" t="n"/>
    </row>
    <row r="12">
      <c r="C12" s="211" t="inlineStr">
        <is>
          <t>– Le club s'est annoncé auprès de la caisse de compensation AVS compétente pour son canton</t>
        </is>
      </c>
      <c r="D12" s="237" t="n"/>
      <c r="E12" s="237" t="n"/>
      <c r="F12" s="237" t="n"/>
      <c r="G12" s="237" t="n"/>
      <c r="H12" s="237" t="n"/>
    </row>
    <row r="13">
      <c r="C13" s="211" t="inlineStr">
        <is>
          <t>– Le club a reçu de sa caisse de compensation AVS le détail des taux de cotisation en vigueur</t>
        </is>
      </c>
      <c r="D13" s="237" t="n"/>
      <c r="E13" s="237" t="n"/>
      <c r="F13" s="237" t="n"/>
      <c r="G13" s="237" t="n"/>
      <c r="H13" s="237" t="n"/>
    </row>
    <row r="14">
      <c r="C14" s="211" t="n"/>
      <c r="D14" s="211" t="n"/>
      <c r="E14" s="211" t="n"/>
      <c r="F14" s="211" t="n"/>
      <c r="G14" s="211" t="n"/>
      <c r="H14" s="211" t="n"/>
    </row>
    <row r="15" ht="20" customFormat="1" customHeight="1" s="128">
      <c r="B15" s="209" t="inlineStr">
        <is>
          <t>Comment utiliser ce fichier</t>
        </is>
      </c>
      <c r="C15" s="237" t="n"/>
      <c r="D15" s="237" t="n"/>
      <c r="E15" s="237" t="n"/>
      <c r="F15" s="237" t="n"/>
      <c r="G15" s="237" t="n"/>
      <c r="H15" s="237" t="n"/>
    </row>
    <row r="16" ht="32" customHeight="1">
      <c r="B16" s="210" t="inlineStr">
        <is>
          <t>Ce fichier est composé de 7 onglets auxquels le club aura recours à différentes périodes de l'année. Les cellules à compléter sont indiquées en jaune dans chaque onglet.</t>
        </is>
      </c>
      <c r="C16" s="237" t="n"/>
      <c r="D16" s="237" t="n"/>
      <c r="E16" s="237" t="n"/>
      <c r="F16" s="237" t="n"/>
      <c r="G16" s="237" t="n"/>
      <c r="H16" s="237" t="n"/>
    </row>
    <row r="17" ht="15" customHeight="1">
      <c r="B17" s="214" t="inlineStr">
        <is>
          <t>En début d'année</t>
        </is>
      </c>
      <c r="C17" s="237" t="n"/>
      <c r="D17" s="237" t="n"/>
      <c r="E17" s="237" t="n"/>
      <c r="F17" s="237" t="n"/>
      <c r="G17" s="237" t="n"/>
      <c r="H17" s="237" t="n"/>
    </row>
    <row r="18" ht="15" customHeight="1">
      <c r="C18" s="201" t="inlineStr">
        <is>
          <t>1. Configuration</t>
        </is>
      </c>
      <c r="D18" s="213" t="inlineStr">
        <is>
          <t>Renseigner les différents paramètres spécifiques à l'employeur</t>
        </is>
      </c>
      <c r="E18" s="237" t="n"/>
      <c r="F18" s="237" t="n"/>
      <c r="G18" s="237" t="n"/>
      <c r="H18" s="237" t="n"/>
    </row>
    <row r="19" ht="15" customHeight="1">
      <c r="B19" s="212" t="inlineStr">
        <is>
          <t>En cours d'année</t>
        </is>
      </c>
      <c r="C19" s="237" t="n"/>
      <c r="D19" s="237" t="n"/>
      <c r="E19" s="237" t="n"/>
      <c r="F19" s="237" t="n"/>
      <c r="G19" s="237" t="n"/>
      <c r="H19" s="237" t="n"/>
    </row>
    <row r="20" ht="15" customHeight="1">
      <c r="C20" s="201" t="inlineStr">
        <is>
          <t>2. Collaborateurs·trices</t>
        </is>
      </c>
      <c r="D20" s="213" t="inlineStr">
        <is>
          <t>Saisir les coordonnées des collaborateurs·trices</t>
        </is>
      </c>
      <c r="E20" s="237" t="n"/>
      <c r="F20" s="237" t="n"/>
      <c r="G20" s="237" t="n"/>
      <c r="H20" s="237" t="n"/>
    </row>
    <row r="21" ht="15" customHeight="1">
      <c r="C21" s="201" t="inlineStr">
        <is>
          <t>3. Prestations</t>
        </is>
      </c>
      <c r="D21" s="213" t="inlineStr">
        <is>
          <t>Sélectionner les collaborateurs·trices et leur fonction lors des séances</t>
        </is>
      </c>
      <c r="E21" s="237" t="n"/>
      <c r="F21" s="237" t="n"/>
      <c r="G21" s="237" t="n"/>
      <c r="H21" s="237" t="n"/>
    </row>
    <row r="22" ht="15" customHeight="1">
      <c r="C22" s="201" t="inlineStr">
        <is>
          <t>4. Fiches de salaire</t>
        </is>
      </c>
      <c r="D22" s="213" t="inlineStr">
        <is>
          <t>Générer les fiches de salaire des collaborateurs·trices</t>
        </is>
      </c>
      <c r="E22" s="237" t="n"/>
      <c r="F22" s="237" t="n"/>
      <c r="G22" s="237" t="n"/>
      <c r="H22" s="237" t="n"/>
    </row>
    <row r="23" ht="15" customHeight="1">
      <c r="B23" s="214" t="inlineStr">
        <is>
          <t>En fin d'année</t>
        </is>
      </c>
      <c r="C23" s="237" t="n"/>
      <c r="D23" s="237" t="n"/>
      <c r="E23" s="237" t="n"/>
      <c r="F23" s="237" t="n"/>
      <c r="G23" s="237" t="n"/>
      <c r="H23" s="237" t="n"/>
    </row>
    <row r="24" ht="15" customHeight="1">
      <c r="B24" s="212" t="n"/>
      <c r="C24" s="201" t="inlineStr">
        <is>
          <t>5. Déclaration AVS</t>
        </is>
      </c>
      <c r="D24" s="211" t="inlineStr">
        <is>
          <t>Afficher les données utiles pour la déclaration annuelle des salaires à la caisse AVS</t>
        </is>
      </c>
      <c r="E24" s="237" t="n"/>
      <c r="F24" s="237" t="n"/>
      <c r="G24" s="237" t="n"/>
      <c r="H24" s="237" t="n"/>
    </row>
    <row r="25" ht="15" customHeight="1">
      <c r="C25" s="201" t="inlineStr">
        <is>
          <t>6. Certificats de salaires</t>
        </is>
      </c>
      <c r="D25" s="211" t="inlineStr">
        <is>
          <t>Afficher les données utiles pour la production des certificats de salaire annuels.</t>
        </is>
      </c>
      <c r="E25" s="237" t="n"/>
      <c r="F25" s="237" t="n"/>
      <c r="G25" s="237" t="n"/>
      <c r="H25" s="237" t="n"/>
    </row>
    <row r="26" ht="15" customHeight="1">
      <c r="C26" s="201" t="n"/>
      <c r="D26" s="211" t="n"/>
      <c r="E26" s="237" t="n"/>
      <c r="F26" s="237" t="n"/>
      <c r="G26" s="237" t="n"/>
      <c r="H26" s="237" t="n"/>
    </row>
    <row r="27" ht="15" customHeight="1">
      <c r="C27" s="131" t="n"/>
      <c r="D27" s="211" t="n"/>
      <c r="E27" s="211" t="n"/>
      <c r="F27" s="211" t="n"/>
      <c r="G27" s="211" t="n"/>
      <c r="H27" s="211" t="n"/>
    </row>
    <row r="29" ht="41" customHeight="1">
      <c r="B29" s="208" t="inlineStr">
        <is>
          <t>Pour éviter des erreurs de saisie, ce fichier est protégée en écriture. Seules les cellules en couleur peuvent être modifiées. Le mot de passe permettant de déverouiller le fichier est: lanterne</t>
        </is>
      </c>
      <c r="C29" s="237" t="n"/>
      <c r="D29" s="237" t="n"/>
      <c r="E29" s="237" t="n"/>
      <c r="F29" s="237" t="n"/>
      <c r="G29" s="237" t="n"/>
      <c r="H29" s="237" t="n"/>
    </row>
    <row r="32">
      <c r="H32" s="202" t="inlineStr">
        <is>
          <t>V.20260101</t>
        </is>
      </c>
    </row>
  </sheetData>
  <sheetProtection selectLockedCells="0" selectUnlockedCells="0" algorithmName="SHA-512" sheet="1" objects="1" insertRows="1" insertHyperlinks="1" autoFilter="1" scenarios="1" formatColumns="1" deleteColumns="1" insertColumns="1" pivotTables="1" deleteRows="1" formatCells="1" saltValue="gkFyk3qfvvd2kMIvhyXNqQ==" formatRows="1" sort="1" spinCount="100000" hashValue="kfPi3bOKQ+d04Z4Lqdz/482zd6N1qBIDKOqCbaXOLcGqb7Ru2vxUZMBmhThDOL0Ag0cJjtWt8bJAkPb9xM+5iA=="/>
  <mergeCells count="23">
    <mergeCell ref="D20:H20"/>
    <mergeCell ref="B9:H9"/>
    <mergeCell ref="B6:H6"/>
    <mergeCell ref="B15:H15"/>
    <mergeCell ref="C12:H12"/>
    <mergeCell ref="D22:H22"/>
    <mergeCell ref="B5:H5"/>
    <mergeCell ref="C11:H11"/>
    <mergeCell ref="D21:H21"/>
    <mergeCell ref="B16:H16"/>
    <mergeCell ref="B3:H3"/>
    <mergeCell ref="C7:H7"/>
    <mergeCell ref="C13:H13"/>
    <mergeCell ref="B2:H2"/>
    <mergeCell ref="D18:H18"/>
    <mergeCell ref="B23:H23"/>
    <mergeCell ref="D25:H25"/>
    <mergeCell ref="B17:H17"/>
    <mergeCell ref="D24:H24"/>
    <mergeCell ref="B29:H29"/>
    <mergeCell ref="B10:H10"/>
    <mergeCell ref="B19:H19"/>
    <mergeCell ref="D26:H26"/>
  </mergeCells>
  <hyperlinks>
    <hyperlink ref="C18" location="'1. Configuration'!A1" display="1. Configuration"/>
    <hyperlink ref="C20" location="'2. Collaborateurs·trices'!A1" display="2. Collaborateurs·trices"/>
    <hyperlink ref="C21" location="'3. Prestations'!A1" display="3. Prestations"/>
    <hyperlink ref="C22" location="'4. Fiches de salaire'!A1" display="4. Fiches de salaire"/>
    <hyperlink ref="C24" location="'5. Déclaration AVS'!C24" display="5. Déclaration AVS"/>
    <hyperlink ref="C25" location="'6. Certificats de salaire'!A1" display="6. Certificats de salaires"/>
  </hyperlinks>
  <pageMargins left="0.7" right="0.7" top="0.75" bottom="0.75" header="0.3" footer="0.3"/>
  <pageSetup orientation="portrait" paperSize="9" scale="88" horizontalDpi="0" verticalDpi="0"/>
</worksheet>
</file>

<file path=xl/worksheets/sheet2.xml><?xml version="1.0" encoding="utf-8"?>
<worksheet xmlns="http://schemas.openxmlformats.org/spreadsheetml/2006/main">
  <sheetPr>
    <outlinePr summaryBelow="1" summaryRight="1"/>
    <pageSetUpPr fitToPage="1"/>
  </sheetPr>
  <dimension ref="A1:F51"/>
  <sheetViews>
    <sheetView zoomScaleNormal="100" workbookViewId="0">
      <selection activeCell="B30" sqref="B30:C30"/>
    </sheetView>
  </sheetViews>
  <sheetFormatPr baseColWidth="10" defaultRowHeight="14"/>
  <cols>
    <col width="35" customWidth="1" style="5" min="1" max="1"/>
    <col width="27.83203125" customWidth="1" style="5" min="2" max="3"/>
    <col width="1.6640625" customWidth="1" style="5" min="4" max="4"/>
    <col width="10.83203125" customWidth="1" style="5" min="5" max="16384"/>
  </cols>
  <sheetData>
    <row r="1" ht="16" customHeight="1">
      <c r="B1" s="233">
        <f>IF(ISBLANK(B8),"",B8)</f>
        <v/>
      </c>
      <c r="C1" s="237" t="n"/>
    </row>
    <row r="2" ht="19" customHeight="1">
      <c r="A2" s="6" t="inlineStr">
        <is>
          <t>1. Configuration</t>
        </is>
      </c>
    </row>
    <row r="3" ht="16" customHeight="1">
      <c r="A3" s="7" t="inlineStr">
        <is>
          <t>Renseigner les données spécifiques au club dans les cellules en couleur.</t>
        </is>
      </c>
    </row>
    <row r="4" ht="15" customHeight="1" thickBot="1"/>
    <row r="5" ht="17" customHeight="1" thickBot="1">
      <c r="A5" s="8" t="inlineStr">
        <is>
          <t>Année civile concernée</t>
        </is>
      </c>
      <c r="B5" s="238" t="n">
        <v>2026</v>
      </c>
      <c r="C5" s="239" t="n"/>
      <c r="E5" s="133" t="n"/>
      <c r="F5" s="133" t="n"/>
    </row>
    <row r="6" ht="15" customHeight="1" thickBot="1"/>
    <row r="7" ht="17" customHeight="1" thickBot="1">
      <c r="A7" s="9" t="inlineStr">
        <is>
          <t>Données du club</t>
        </is>
      </c>
      <c r="B7" s="240" t="n"/>
      <c r="C7" s="241" t="n"/>
    </row>
    <row r="8">
      <c r="A8" s="10" t="inlineStr">
        <is>
          <t>Raison sociale</t>
        </is>
      </c>
      <c r="B8" s="230" t="inlineStr">
        <is>
          <t>La Lanterne Magique de Testville</t>
        </is>
      </c>
      <c r="C8" s="242" t="n"/>
    </row>
    <row r="9">
      <c r="A9" s="11" t="inlineStr">
        <is>
          <t>Adresse</t>
        </is>
      </c>
      <c r="B9" s="229" t="inlineStr">
        <is>
          <t>Lanterne Magique de Testville
c/o Exemple,
Rue de l'Essai 9,</t>
        </is>
      </c>
      <c r="C9" s="243" t="n"/>
    </row>
    <row r="10">
      <c r="A10" s="11" t="inlineStr">
        <is>
          <t>NPA, Localité</t>
        </is>
      </c>
      <c r="B10" s="228" t="inlineStr">
        <is>
          <t>1000 Lausanne</t>
        </is>
      </c>
      <c r="C10" s="243" t="n"/>
    </row>
    <row r="11" ht="15" customHeight="1" thickBot="1"/>
    <row r="12" ht="15" customHeight="1" thickBot="1">
      <c r="A12" s="12" t="inlineStr">
        <is>
          <t xml:space="preserve">Rémunération </t>
        </is>
      </c>
      <c r="B12" s="13" t="inlineStr">
        <is>
          <t>Salarié</t>
        </is>
      </c>
      <c r="C12" s="14" t="inlineStr">
        <is>
          <t>Indépendant</t>
        </is>
      </c>
    </row>
    <row r="13">
      <c r="A13" s="15" t="inlineStr">
        <is>
          <t>Savant·e</t>
        </is>
      </c>
      <c r="B13" s="244" t="n">
        <v>355</v>
      </c>
      <c r="C13" s="245" t="n">
        <v>373</v>
      </c>
    </row>
    <row r="14">
      <c r="A14" s="16" t="inlineStr">
        <is>
          <t>Naïf·ve</t>
        </is>
      </c>
      <c r="B14" s="246" t="n">
        <v>253</v>
      </c>
      <c r="C14" s="247" t="n">
        <v>266</v>
      </c>
    </row>
    <row r="15">
      <c r="A15" s="16" t="inlineStr">
        <is>
          <t>Artiste</t>
        </is>
      </c>
      <c r="B15" s="246" t="n">
        <v>304</v>
      </c>
      <c r="C15" s="247" t="n">
        <v>319</v>
      </c>
    </row>
    <row r="16">
      <c r="A16" s="16" t="inlineStr">
        <is>
          <t>Musicien·ne</t>
        </is>
      </c>
      <c r="B16" s="246" t="n">
        <v>445</v>
      </c>
      <c r="C16" s="247" t="n">
        <v>465</v>
      </c>
    </row>
    <row r="17">
      <c r="A17" s="182" t="n"/>
      <c r="B17" s="246" t="n"/>
      <c r="C17" s="247" t="n"/>
    </row>
    <row r="18">
      <c r="A18" s="182" t="n"/>
      <c r="B18" s="246" t="n"/>
      <c r="C18" s="247" t="n"/>
    </row>
    <row r="19">
      <c r="A19" s="183" t="n"/>
      <c r="B19" s="248" t="n"/>
      <c r="C19" s="249" t="n"/>
    </row>
    <row r="20">
      <c r="A20" s="183" t="n"/>
      <c r="B20" s="248" t="n"/>
      <c r="C20" s="249" t="n"/>
    </row>
    <row r="21" ht="15" customHeight="1" thickBot="1">
      <c r="A21" s="184" t="n"/>
      <c r="B21" s="250" t="n"/>
      <c r="C21" s="251" t="n"/>
    </row>
    <row r="22" ht="15" customHeight="1" thickBot="1"/>
    <row r="23" ht="15" customHeight="1" thickBot="1">
      <c r="A23" s="12">
        <f>"Séances "&amp;B5</f>
        <v/>
      </c>
      <c r="B23" s="14" t="inlineStr">
        <is>
          <t>Dates</t>
        </is>
      </c>
      <c r="C23" s="252" t="n"/>
    </row>
    <row r="24">
      <c r="A24" s="113">
        <f>"Séance 4"&amp;", "&amp;"Saison "&amp;($B$5-1)&amp;"-"&amp;$B$5</f>
        <v/>
      </c>
      <c r="B24" s="253" t="n">
        <v>46039</v>
      </c>
      <c r="C24" s="254" t="n"/>
      <c r="E24" s="179">
        <f>IF(COUNTIF(B25:C35,B24),"Erreur! Il ne peut y avoir deux séances à une même date.","")</f>
        <v/>
      </c>
    </row>
    <row r="25">
      <c r="A25" s="15">
        <f>"Séance 5"&amp;", "&amp;"Saison "&amp;($B$5-1)&amp;"-"&amp;$B$5</f>
        <v/>
      </c>
      <c r="B25" s="255" t="n">
        <v>46060</v>
      </c>
      <c r="C25" s="256" t="n"/>
      <c r="E25" s="179">
        <f>IF(COUNTIF(B$24:C24,B25),"Erreur! Il ne peut y avoir deux séances à une même date.","")</f>
        <v/>
      </c>
    </row>
    <row r="26">
      <c r="A26" s="15">
        <f>"Séance 6"&amp;", "&amp;"Saison "&amp;($B$5-1)&amp;"-"&amp;$B$5</f>
        <v/>
      </c>
      <c r="B26" s="255" t="n">
        <v>46088</v>
      </c>
      <c r="C26" s="256" t="n"/>
      <c r="E26" s="179">
        <f>IF(COUNTIF(B$24:C25,B26),"Erreur! Il ne peut y avoir deux séances à une même date.","")</f>
        <v/>
      </c>
    </row>
    <row r="27">
      <c r="A27" s="15">
        <f>"Séance 7"&amp;", "&amp;"Saison "&amp;($B$5-1)&amp;"-"&amp;$B$5</f>
        <v/>
      </c>
      <c r="B27" s="255" t="n">
        <v>46109</v>
      </c>
      <c r="C27" s="256" t="n"/>
      <c r="E27" s="179">
        <f>IF(COUNTIF(B$24:C26,B27),"Erreur! Il ne peut y avoir deux séances à une même date.","")</f>
        <v/>
      </c>
    </row>
    <row r="28">
      <c r="A28" s="15">
        <f>"Séance 8"&amp;", "&amp;"Saison "&amp;($B$5-1)&amp;"-"&amp;$B$5</f>
        <v/>
      </c>
      <c r="B28" s="255" t="n">
        <v>46137</v>
      </c>
      <c r="C28" s="256" t="n"/>
      <c r="E28" s="179">
        <f>IF(COUNTIF(B$24:C27,B28),"Erreur! Il ne peut y avoir deux séances à une même date.","")</f>
        <v/>
      </c>
    </row>
    <row r="29">
      <c r="A29" s="15">
        <f>"Séance 9"&amp;", "&amp;"Saison "&amp;($B$5-1)&amp;"-"&amp;$B$5</f>
        <v/>
      </c>
      <c r="B29" s="255" t="n">
        <v>46186</v>
      </c>
      <c r="C29" s="256" t="n"/>
      <c r="E29" s="179">
        <f>IF(COUNTIF(B$24:C28,B29),"Erreur! Il ne peut y avoir deux séances à une même date.","")</f>
        <v/>
      </c>
    </row>
    <row r="30">
      <c r="A30" s="15">
        <f>"Séance 1"&amp;", "&amp;"Saison "&amp;($B$5)&amp;"-"&amp;($B$5+1)</f>
        <v/>
      </c>
      <c r="B30" s="255" t="n"/>
      <c r="C30" s="256" t="n"/>
      <c r="E30" s="179">
        <f>IF(COUNTIF(B$24:C29,B30),"Erreur! Il ne peut y avoir deux séances à une même date.","")</f>
        <v/>
      </c>
    </row>
    <row r="31">
      <c r="A31" s="15">
        <f>"Séance 2"&amp;", "&amp;"Saison "&amp;($B$5)&amp;"-"&amp;($B$5+1)</f>
        <v/>
      </c>
      <c r="B31" s="255" t="n"/>
      <c r="C31" s="256" t="n"/>
      <c r="E31" s="179">
        <f>IF(COUNTIF(B$24:C30,B31),"Erreur! Il ne peut y avoir deux séances à une même date.","")</f>
        <v/>
      </c>
    </row>
    <row r="32">
      <c r="A32" s="15">
        <f>"Séance 3"&amp;", "&amp;"Saison "&amp;($B$5)&amp;"-"&amp;($B$5+1)</f>
        <v/>
      </c>
      <c r="B32" s="255" t="n"/>
      <c r="C32" s="256" t="n"/>
      <c r="E32" s="179">
        <f>IF(COUNTIF(B$24:C31,B32),"Erreur! Il ne peut y avoir deux séances à une même date.","")</f>
        <v/>
      </c>
    </row>
    <row r="33">
      <c r="A33" s="180" t="inlineStr">
        <is>
          <t>Séance supplémentaire (si besoin)</t>
        </is>
      </c>
      <c r="B33" s="255" t="n"/>
      <c r="C33" s="256" t="n"/>
      <c r="E33" s="179">
        <f>IF(COUNTIF(B$24:C32,B33),"Erreur! Il ne peut y avoir deux séances à une même date.","")</f>
        <v/>
      </c>
    </row>
    <row r="34">
      <c r="A34" s="180" t="inlineStr">
        <is>
          <t>Séance supplémentaire (si besoin)</t>
        </is>
      </c>
      <c r="B34" s="255" t="n"/>
      <c r="C34" s="256" t="n"/>
      <c r="E34" s="179">
        <f>IF(COUNTIF(B$24:C33,B34),"Erreur! Il ne peut y avoir deux séances à une même date.","")</f>
        <v/>
      </c>
    </row>
    <row r="35" ht="15" customHeight="1" thickBot="1">
      <c r="A35" s="181" t="inlineStr">
        <is>
          <t>Séance supplémentaire (si besoin)</t>
        </is>
      </c>
      <c r="B35" s="257" t="n"/>
      <c r="C35" s="258" t="n"/>
      <c r="E35" s="179">
        <f>IF(COUNTIF(B$24:C34,B35),"Erreur! Il ne peut y avoir deux séances à une même date.","")</f>
        <v/>
      </c>
    </row>
    <row r="36" ht="15" customHeight="1" thickBot="1"/>
    <row r="37" ht="15" customHeight="1" thickBot="1">
      <c r="A37" s="17" t="inlineStr">
        <is>
          <t>Indemnités, cotisation et autres frais</t>
        </is>
      </c>
      <c r="B37" s="18" t="inlineStr">
        <is>
          <t>Taux employé</t>
        </is>
      </c>
      <c r="C37" s="19" t="inlineStr">
        <is>
          <t>Taux employeur</t>
        </is>
      </c>
    </row>
    <row r="38" ht="17" customHeight="1" thickBot="1">
      <c r="A38" s="20" t="inlineStr">
        <is>
          <t>Indemnités vacances</t>
        </is>
      </c>
      <c r="B38" s="259" t="n">
        <v>0.1064</v>
      </c>
      <c r="C38" s="241" t="n"/>
    </row>
    <row r="39">
      <c r="A39" s="21" t="inlineStr">
        <is>
          <t>Cotisations AVS/AI/APG</t>
        </is>
      </c>
      <c r="B39" s="171" t="n">
        <v>0.053</v>
      </c>
      <c r="C39" s="172">
        <f>B39</f>
        <v/>
      </c>
    </row>
    <row r="40">
      <c r="A40" s="22" t="inlineStr">
        <is>
          <t>Cotisations AC</t>
        </is>
      </c>
      <c r="B40" s="23" t="n">
        <v>0.011</v>
      </c>
      <c r="C40" s="24">
        <f>B40</f>
        <v/>
      </c>
    </row>
    <row r="41">
      <c r="A41" s="156" t="inlineStr">
        <is>
          <t>Cotisations AANP</t>
        </is>
      </c>
      <c r="B41" s="1" t="n">
        <v>0</v>
      </c>
      <c r="C41" s="39">
        <f>B41</f>
        <v/>
      </c>
    </row>
    <row r="42">
      <c r="A42" s="156" t="inlineStr">
        <is>
          <t>Cotisations APG-maladie</t>
        </is>
      </c>
      <c r="B42" s="1" t="n">
        <v>0</v>
      </c>
      <c r="C42" s="39">
        <f>B42</f>
        <v/>
      </c>
    </row>
    <row r="43">
      <c r="A43" s="156" t="inlineStr">
        <is>
          <t>Cotisations AFC</t>
        </is>
      </c>
      <c r="B43" s="1" t="n">
        <v>0</v>
      </c>
      <c r="C43" s="39" t="n">
        <v>0</v>
      </c>
    </row>
    <row r="44">
      <c r="A44" s="156" t="inlineStr">
        <is>
          <t>Autres déductions 1 (si besoin)</t>
        </is>
      </c>
      <c r="B44" s="1" t="n">
        <v>0</v>
      </c>
      <c r="C44" s="39" t="n">
        <v>0</v>
      </c>
    </row>
    <row r="45">
      <c r="A45" s="156" t="inlineStr">
        <is>
          <t>Autres déductions 2 (si besoin)</t>
        </is>
      </c>
      <c r="B45" s="2" t="n">
        <v>0</v>
      </c>
      <c r="C45" s="40" t="n">
        <v>0</v>
      </c>
    </row>
    <row r="46" ht="16" customHeight="1" thickBot="1">
      <c r="A46" s="25" t="inlineStr">
        <is>
          <t>Total cotisations</t>
        </is>
      </c>
      <c r="B46" s="260">
        <f>SUM(B39:B45)</f>
        <v/>
      </c>
      <c r="C46" s="261">
        <f>SUM(C39:C45)</f>
        <v/>
      </c>
    </row>
    <row r="47" ht="15" customHeight="1">
      <c r="A47" s="28" t="inlineStr">
        <is>
          <t>Frais d'administration</t>
        </is>
      </c>
      <c r="B47" s="29" t="n"/>
      <c r="C47" s="169" t="n">
        <v>0.05</v>
      </c>
    </row>
    <row r="48" ht="16" customHeight="1" thickBot="1">
      <c r="A48" s="30" t="inlineStr">
        <is>
          <t>Prime d'assurance accident (LAA)</t>
        </is>
      </c>
      <c r="B48" s="31" t="n"/>
      <c r="C48" s="170" t="n">
        <v>100</v>
      </c>
    </row>
    <row r="49" ht="15" customHeight="1">
      <c r="A49" s="199" t="inlineStr">
        <is>
          <t>Accéder au site Internet de la caisse AVS compétente pour le détail des taux de cotisation.</t>
        </is>
      </c>
    </row>
    <row r="51" hidden="1">
      <c r="A51" s="32" t="inlineStr">
        <is>
          <t>Franchise AVS</t>
        </is>
      </c>
      <c r="B51" s="32" t="inlineStr">
        <is>
          <t>non</t>
        </is>
      </c>
      <c r="C51" s="32" t="inlineStr">
        <is>
          <t>oui</t>
        </is>
      </c>
    </row>
  </sheetData>
  <sheetProtection selectLockedCells="0" selectUnlockedCells="0" algorithmName="SHA-512" sheet="1" objects="0" insertRows="1" insertHyperlinks="1" autoFilter="1" scenarios="0" formatColumns="1" deleteColumns="1" insertColumns="1" pivotTables="1" deleteRows="1" formatCells="1" saltValue="u2Sp+5vqKagrW+npFqYS/w==" formatRows="1" sort="1" spinCount="100000" hashValue="B7accVgE2YRMHTdQtTxLUwR99EyCVlU/qNHa5HoDimgEOdXTIbK6/oVEkBYHSO9IdqIgvD1QKbDxDUIIlU8dEw=="/>
  <mergeCells count="20">
    <mergeCell ref="B7:C7"/>
    <mergeCell ref="B25:C25"/>
    <mergeCell ref="B31:C31"/>
    <mergeCell ref="B27:C27"/>
    <mergeCell ref="B23:C23"/>
    <mergeCell ref="B1:C1"/>
    <mergeCell ref="B8:C8"/>
    <mergeCell ref="B38:C38"/>
    <mergeCell ref="B29:C29"/>
    <mergeCell ref="B34:C34"/>
    <mergeCell ref="B10:C10"/>
    <mergeCell ref="B28:C28"/>
    <mergeCell ref="B9:C9"/>
    <mergeCell ref="B24:C24"/>
    <mergeCell ref="B30:C30"/>
    <mergeCell ref="B33:C33"/>
    <mergeCell ref="B5:C5"/>
    <mergeCell ref="B32:C32"/>
    <mergeCell ref="B26:C26"/>
    <mergeCell ref="B35:C35"/>
  </mergeCells>
  <dataValidations count="3">
    <dataValidation sqref="B5:C5" showDropDown="0" showInputMessage="1" showErrorMessage="1" allowBlank="0" type="whole">
      <formula1>2000</formula1>
      <formula2>3000</formula2>
    </dataValidation>
    <dataValidation sqref="B24:C35" showDropDown="0" showInputMessage="1" showErrorMessage="1" allowBlank="0" type="date">
      <formula1>46023</formula1>
      <formula2>46387</formula2>
    </dataValidation>
    <dataValidation sqref="B13:C21" showDropDown="0" showInputMessage="1" showErrorMessage="1" allowBlank="1" type="decimal">
      <formula1>0</formula1>
      <formula2>9999</formula2>
    </dataValidation>
  </dataValidations>
  <hyperlinks>
    <hyperlink xmlns:r="http://schemas.openxmlformats.org/officeDocument/2006/relationships" ref="A49" location="ar-appenzell-rhodes-exterieures-844" display="Les taux de cotisation applicables sont publiés sur le site de votre caisse AVS." r:id="rId1"/>
  </hyperlinks>
  <pageMargins left="0.7" right="0.7" top="0.75" bottom="0.75" header="0.3" footer="0.3"/>
  <pageSetup orientation="portrait" paperSize="9" scale="96" horizontalDpi="0" verticalDpi="0"/>
</worksheet>
</file>

<file path=xl/worksheets/sheet3.xml><?xml version="1.0" encoding="utf-8"?>
<worksheet xmlns="http://schemas.openxmlformats.org/spreadsheetml/2006/main">
  <sheetPr>
    <outlinePr summaryBelow="1" summaryRight="1"/>
    <pageSetUpPr fitToPage="1"/>
  </sheetPr>
  <dimension ref="A1:M40"/>
  <sheetViews>
    <sheetView topLeftCell="E1" zoomScaleNormal="100" workbookViewId="0">
      <selection activeCell="G22" sqref="G22"/>
    </sheetView>
  </sheetViews>
  <sheetFormatPr baseColWidth="10" defaultRowHeight="14"/>
  <cols>
    <col width="21.6640625" customWidth="1" style="4" min="1" max="2"/>
    <col hidden="1" width="17.6640625" customWidth="1" style="4" min="3" max="3"/>
    <col width="25.83203125" customWidth="1" style="4" min="4" max="6"/>
    <col width="15.83203125" customWidth="1" style="4" min="7" max="7"/>
    <col width="10.83203125" customWidth="1" style="4" min="8" max="8"/>
    <col width="9.5" bestFit="1" customWidth="1" style="4" min="9" max="9"/>
    <col width="15.5" bestFit="1" customWidth="1" style="4" min="10" max="10"/>
    <col width="10.83203125" bestFit="1" customWidth="1" style="4" min="11" max="11"/>
    <col width="15.6640625" bestFit="1" customWidth="1" style="4" min="12" max="12"/>
    <col width="25.6640625" bestFit="1" customWidth="1" style="4" min="13" max="13"/>
    <col width="10.83203125" customWidth="1" style="4" min="14" max="16384"/>
  </cols>
  <sheetData>
    <row r="1" ht="16" customHeight="1">
      <c r="L1" s="233">
        <f>IF(ISBLANK('1. Configuration'!B8),"",'1. Configuration'!B8)</f>
        <v/>
      </c>
      <c r="M1" s="237" t="n"/>
    </row>
    <row r="2" ht="19" customHeight="1">
      <c r="A2" s="3" t="inlineStr">
        <is>
          <t>2. Collaborateurs·trices</t>
        </is>
      </c>
    </row>
    <row r="3" ht="16" customHeight="1">
      <c r="A3" s="234" t="inlineStr">
        <is>
          <t>Saisir les coordonnées des collaborateurs·trices du club dans les cellules en couleur. Celles des artistes placé·es par l'ASLM sont publiées dans le Registre des artistes.</t>
        </is>
      </c>
      <c r="B3" s="237" t="n"/>
      <c r="C3" s="237" t="n"/>
      <c r="D3" s="237" t="n"/>
      <c r="E3" s="237" t="n"/>
      <c r="F3" s="237" t="n"/>
      <c r="G3" s="237" t="n"/>
      <c r="H3" s="237" t="n"/>
      <c r="I3" s="237" t="n"/>
      <c r="J3" s="237" t="n"/>
      <c r="K3" s="237" t="n"/>
      <c r="L3" s="237" t="n"/>
      <c r="M3" s="237" t="n"/>
    </row>
    <row r="4">
      <c r="A4" s="42" t="n"/>
    </row>
    <row r="5">
      <c r="A5" s="43" t="inlineStr">
        <is>
          <t>Prénom</t>
        </is>
      </c>
      <c r="B5" s="43" t="inlineStr">
        <is>
          <t>Nom</t>
        </is>
      </c>
      <c r="C5" s="43" t="inlineStr">
        <is>
          <t>Collaborateur·trice</t>
        </is>
      </c>
      <c r="D5" s="43" t="inlineStr">
        <is>
          <t>Adresse</t>
        </is>
      </c>
      <c r="E5" s="43" t="inlineStr">
        <is>
          <t>NPA, Localité</t>
        </is>
      </c>
      <c r="F5" s="43" t="inlineStr">
        <is>
          <t>E-mail</t>
        </is>
      </c>
      <c r="G5" s="43" t="inlineStr">
        <is>
          <t>Téléphone</t>
        </is>
      </c>
      <c r="H5" s="43" t="inlineStr">
        <is>
          <t>Statut</t>
        </is>
      </c>
      <c r="I5" s="43" t="inlineStr">
        <is>
          <t>Taux LPP</t>
        </is>
      </c>
      <c r="J5" s="43" t="inlineStr">
        <is>
          <t>Déclaration AVS</t>
        </is>
      </c>
      <c r="K5" s="43" t="inlineStr">
        <is>
          <t>Date naiss.</t>
        </is>
      </c>
      <c r="L5" s="43" t="inlineStr">
        <is>
          <t>N° AVS</t>
        </is>
      </c>
      <c r="M5" s="43" t="inlineStr">
        <is>
          <t>IBAN</t>
        </is>
      </c>
    </row>
    <row r="6">
      <c r="A6" s="44" t="inlineStr">
        <is>
          <t>Camille</t>
        </is>
      </c>
      <c r="B6" s="45" t="inlineStr">
        <is>
          <t>Exemple</t>
        </is>
      </c>
      <c r="C6" s="161">
        <f>IF(A6&gt;0,(A6&amp;" "&amp;B6),"")</f>
        <v/>
      </c>
      <c r="D6" s="44" t="inlineStr">
        <is>
          <t>Rue Fictive 1</t>
        </is>
      </c>
      <c r="E6" s="44" t="inlineStr">
        <is>
          <t>1000 Lausanne</t>
        </is>
      </c>
      <c r="F6" s="115" t="inlineStr">
        <is>
          <t>camille@example.org</t>
        </is>
      </c>
      <c r="G6" s="44" t="inlineStr">
        <is>
          <t>021 000 00 01</t>
        </is>
      </c>
      <c r="H6" s="44" t="inlineStr">
        <is>
          <t>Salarié</t>
        </is>
      </c>
      <c r="I6" s="46" t="n">
        <v>0</v>
      </c>
      <c r="J6" s="47" t="inlineStr">
        <is>
          <t>oui</t>
        </is>
      </c>
      <c r="K6" s="48" t="n">
        <v>32875</v>
      </c>
      <c r="L6" s="49" t="inlineStr">
        <is>
          <t>756.0000.0000.02</t>
        </is>
      </c>
      <c r="M6" s="44" t="inlineStr">
        <is>
          <t>CH93 0076 2011 6238 5295 7</t>
        </is>
      </c>
    </row>
    <row r="7">
      <c r="A7" s="44" t="inlineStr">
        <is>
          <t>Alex</t>
        </is>
      </c>
      <c r="B7" s="45" t="inlineStr">
        <is>
          <t>Martin</t>
        </is>
      </c>
      <c r="C7" s="161">
        <f>IF(A7&gt;0,(A7&amp;" "&amp;B7),"")</f>
        <v/>
      </c>
      <c r="D7" s="44" t="inlineStr">
        <is>
          <t>Chemin du Test 2</t>
        </is>
      </c>
      <c r="E7" s="44" t="inlineStr">
        <is>
          <t>1950 Sion</t>
        </is>
      </c>
      <c r="F7" s="44" t="inlineStr">
        <is>
          <t>alex@example.org</t>
        </is>
      </c>
      <c r="G7" s="44" t="inlineStr">
        <is>
          <t>079 000 00 02</t>
        </is>
      </c>
      <c r="H7" s="44" t="inlineStr">
        <is>
          <t>Salarié</t>
        </is>
      </c>
      <c r="I7" s="46" t="n">
        <v>0</v>
      </c>
      <c r="J7" s="47" t="inlineStr">
        <is>
          <t>oui</t>
        </is>
      </c>
      <c r="K7" s="48" t="n">
        <v>31173</v>
      </c>
      <c r="L7" s="49" t="inlineStr">
        <is>
          <t>756.1111.1111.13</t>
        </is>
      </c>
      <c r="M7" s="44" t="inlineStr">
        <is>
          <t>CH56 0483 5012 3456 7800 9</t>
        </is>
      </c>
    </row>
    <row r="8">
      <c r="A8" s="44" t="inlineStr">
        <is>
          <t>Alex</t>
        </is>
      </c>
      <c r="B8" s="45" t="inlineStr">
        <is>
          <t>Martin</t>
        </is>
      </c>
      <c r="C8" s="161">
        <f>IF(A8&gt;0,(A8&amp;" "&amp;B8),"")</f>
        <v/>
      </c>
      <c r="D8" s="44" t="inlineStr">
        <is>
          <t>Avenue Modèle 3</t>
        </is>
      </c>
      <c r="E8" s="44" t="inlineStr">
        <is>
          <t>1200 Genève</t>
        </is>
      </c>
      <c r="F8" s="44" t="inlineStr">
        <is>
          <t>alex.m@example.org</t>
        </is>
      </c>
      <c r="G8" s="44" t="inlineStr">
        <is>
          <t>079 000 00 03</t>
        </is>
      </c>
      <c r="H8" s="44" t="inlineStr">
        <is>
          <t>Salarié</t>
        </is>
      </c>
      <c r="I8" s="46" t="n">
        <v>0</v>
      </c>
      <c r="J8" s="47" t="inlineStr">
        <is>
          <t>non</t>
        </is>
      </c>
      <c r="K8" s="262" t="n">
        <v>33667</v>
      </c>
      <c r="L8" s="49" t="inlineStr">
        <is>
          <t>756.2222.2222.24</t>
        </is>
      </c>
      <c r="M8" s="44" t="inlineStr">
        <is>
          <t>CH93 0076 2011 6238 5295 7</t>
        </is>
      </c>
    </row>
    <row r="9">
      <c r="A9" s="44" t="inlineStr">
        <is>
          <t>Noa</t>
        </is>
      </c>
      <c r="B9" s="45" t="inlineStr">
        <is>
          <t>Indep</t>
        </is>
      </c>
      <c r="C9" s="161">
        <f>IF(A9&gt;0,(A9&amp;" "&amp;B9),"")</f>
        <v/>
      </c>
      <c r="D9" s="44" t="inlineStr">
        <is>
          <t>Place Imaginaire 4</t>
        </is>
      </c>
      <c r="E9" s="44" t="inlineStr">
        <is>
          <t>2000 Neuchâtel</t>
        </is>
      </c>
      <c r="F9" s="44" t="inlineStr">
        <is>
          <t>noa@example.org</t>
        </is>
      </c>
      <c r="G9" s="44" t="inlineStr">
        <is>
          <t>078 000 00 04</t>
        </is>
      </c>
      <c r="H9" s="44" t="inlineStr">
        <is>
          <t>Indépendant</t>
        </is>
      </c>
      <c r="I9" s="46" t="n">
        <v>0</v>
      </c>
      <c r="J9" s="47" t="inlineStr"/>
      <c r="K9" s="48" t="n"/>
      <c r="L9" s="49" t="inlineStr"/>
      <c r="M9" s="44" t="inlineStr"/>
    </row>
    <row r="10">
      <c r="A10" s="44" t="n"/>
      <c r="B10" s="45" t="n"/>
      <c r="C10" s="161">
        <f>IF(A10&gt;0,(A10&amp;" "&amp;B10),"")</f>
        <v/>
      </c>
      <c r="D10" s="44" t="n"/>
      <c r="E10" s="44" t="n"/>
      <c r="F10" s="44" t="n"/>
      <c r="G10" s="44" t="n"/>
      <c r="H10" s="44" t="n"/>
      <c r="I10" s="46" t="n"/>
      <c r="J10" s="47" t="n"/>
      <c r="K10" s="48" t="n"/>
      <c r="L10" s="49" t="n"/>
      <c r="M10" s="44" t="n"/>
    </row>
    <row r="11">
      <c r="A11" s="44" t="n"/>
      <c r="B11" s="45" t="n"/>
      <c r="C11" s="161">
        <f>IF(A11&gt;0,(A11&amp;" "&amp;B11),"")</f>
        <v/>
      </c>
      <c r="D11" s="44" t="n"/>
      <c r="E11" s="44" t="n"/>
      <c r="F11" s="44" t="n"/>
      <c r="G11" s="44" t="n"/>
      <c r="H11" s="44" t="n"/>
      <c r="I11" s="46" t="n"/>
      <c r="J11" s="47" t="n"/>
      <c r="K11" s="48" t="n"/>
      <c r="L11" s="49" t="n"/>
      <c r="M11" s="44" t="n"/>
    </row>
    <row r="12">
      <c r="A12" s="44" t="n"/>
      <c r="B12" s="45" t="n"/>
      <c r="C12" s="161">
        <f>IF(A12&gt;0,(A12&amp;" "&amp;B12),"")</f>
        <v/>
      </c>
      <c r="D12" s="44" t="n"/>
      <c r="E12" s="44" t="n"/>
      <c r="F12" s="44" t="n"/>
      <c r="G12" s="44" t="n"/>
      <c r="H12" s="44" t="n"/>
      <c r="I12" s="46" t="n"/>
      <c r="J12" s="47" t="n"/>
      <c r="K12" s="47" t="n"/>
      <c r="L12" s="49" t="n"/>
      <c r="M12" s="44" t="n"/>
    </row>
    <row r="13">
      <c r="A13" s="44" t="n"/>
      <c r="B13" s="45" t="n"/>
      <c r="C13" s="161">
        <f>IF(A13&gt;0,(A13&amp;" "&amp;B13),"")</f>
        <v/>
      </c>
      <c r="D13" s="44" t="n"/>
      <c r="E13" s="44" t="n"/>
      <c r="F13" s="44" t="n"/>
      <c r="G13" s="44" t="n"/>
      <c r="H13" s="44" t="n"/>
      <c r="I13" s="46" t="n"/>
      <c r="J13" s="47" t="n"/>
      <c r="K13" s="47" t="n"/>
      <c r="L13" s="49" t="n"/>
      <c r="M13" s="44" t="n"/>
    </row>
    <row r="14">
      <c r="A14" s="44" t="n"/>
      <c r="B14" s="45" t="n"/>
      <c r="C14" s="161">
        <f>IF(A14&gt;0,(A14&amp;" "&amp;B14),"")</f>
        <v/>
      </c>
      <c r="D14" s="44" t="n"/>
      <c r="E14" s="44" t="n"/>
      <c r="F14" s="44" t="n"/>
      <c r="G14" s="44" t="n"/>
      <c r="H14" s="44" t="n"/>
      <c r="I14" s="46" t="n"/>
      <c r="J14" s="47" t="n"/>
      <c r="K14" s="47" t="n"/>
      <c r="L14" s="49" t="n"/>
      <c r="M14" s="44" t="n"/>
    </row>
    <row r="15">
      <c r="A15" s="44" t="n"/>
      <c r="B15" s="45" t="n"/>
      <c r="C15" s="161">
        <f>IF(A15&gt;0,(A15&amp;" "&amp;B15),"")</f>
        <v/>
      </c>
      <c r="D15" s="44" t="n"/>
      <c r="E15" s="44" t="n"/>
      <c r="F15" s="44" t="n"/>
      <c r="G15" s="44" t="n"/>
      <c r="H15" s="44" t="n"/>
      <c r="I15" s="46" t="n"/>
      <c r="J15" s="47" t="n"/>
      <c r="K15" s="47" t="n"/>
      <c r="L15" s="49" t="n"/>
      <c r="M15" s="44" t="n"/>
    </row>
    <row r="16">
      <c r="A16" s="44" t="n"/>
      <c r="B16" s="45" t="n"/>
      <c r="C16" s="161">
        <f>IF(A16&gt;0,(A16&amp;" "&amp;B16),"")</f>
        <v/>
      </c>
      <c r="D16" s="44" t="n"/>
      <c r="E16" s="44" t="n"/>
      <c r="F16" s="44" t="n"/>
      <c r="G16" s="44" t="n"/>
      <c r="H16" s="44" t="n"/>
      <c r="I16" s="46" t="n"/>
      <c r="J16" s="47" t="n"/>
      <c r="K16" s="47" t="n"/>
      <c r="L16" s="49" t="n"/>
      <c r="M16" s="44" t="n"/>
    </row>
    <row r="17">
      <c r="A17" s="44" t="n"/>
      <c r="B17" s="45" t="n"/>
      <c r="C17" s="161">
        <f>IF(A17&gt;0,(A17&amp;" "&amp;B17),"")</f>
        <v/>
      </c>
      <c r="D17" s="44" t="n"/>
      <c r="E17" s="44" t="n"/>
      <c r="F17" s="44" t="n"/>
      <c r="G17" s="44" t="n"/>
      <c r="H17" s="44" t="n"/>
      <c r="I17" s="46" t="n"/>
      <c r="J17" s="47" t="n"/>
      <c r="K17" s="47" t="n"/>
      <c r="L17" s="49" t="n"/>
      <c r="M17" s="44" t="n"/>
    </row>
    <row r="18">
      <c r="A18" s="44" t="n"/>
      <c r="B18" s="45" t="n"/>
      <c r="C18" s="161">
        <f>IF(A18&gt;0,(A18&amp;" "&amp;B18),"")</f>
        <v/>
      </c>
      <c r="D18" s="44" t="n"/>
      <c r="E18" s="44" t="n"/>
      <c r="F18" s="44" t="n"/>
      <c r="G18" s="44" t="n"/>
      <c r="H18" s="44" t="n"/>
      <c r="I18" s="46" t="n"/>
      <c r="J18" s="47" t="n"/>
      <c r="K18" s="47" t="n"/>
      <c r="L18" s="49" t="n"/>
      <c r="M18" s="44" t="n"/>
    </row>
    <row r="19">
      <c r="A19" s="44" t="n"/>
      <c r="B19" s="45" t="n"/>
      <c r="C19" s="161">
        <f>IF(A19&gt;0,(A19&amp;" "&amp;B19),"")</f>
        <v/>
      </c>
      <c r="D19" s="44" t="n"/>
      <c r="E19" s="44" t="n"/>
      <c r="F19" s="44" t="n"/>
      <c r="G19" s="44" t="n"/>
      <c r="H19" s="44" t="n"/>
      <c r="I19" s="46" t="n"/>
      <c r="J19" s="47" t="n"/>
      <c r="K19" s="47" t="n"/>
      <c r="L19" s="49" t="n"/>
      <c r="M19" s="44" t="n"/>
    </row>
    <row r="20">
      <c r="A20" s="44" t="n"/>
      <c r="B20" s="45" t="n"/>
      <c r="C20" s="161">
        <f>IF(A20&gt;0,(A20&amp;" "&amp;B20),"")</f>
        <v/>
      </c>
      <c r="D20" s="44" t="n"/>
      <c r="E20" s="44" t="n"/>
      <c r="F20" s="44" t="n"/>
      <c r="G20" s="44" t="n"/>
      <c r="H20" s="44" t="n"/>
      <c r="I20" s="46" t="n"/>
      <c r="J20" s="47" t="n"/>
      <c r="K20" s="47" t="n"/>
      <c r="L20" s="49" t="n"/>
      <c r="M20" s="44" t="n"/>
    </row>
    <row r="21">
      <c r="A21" s="44" t="n"/>
      <c r="B21" s="45" t="n"/>
      <c r="C21" s="161">
        <f>IF(A21&gt;0,(A21&amp;" "&amp;B21),"")</f>
        <v/>
      </c>
      <c r="D21" s="44" t="n"/>
      <c r="E21" s="44" t="n"/>
      <c r="F21" s="44" t="n"/>
      <c r="G21" s="44" t="n"/>
      <c r="H21" s="44" t="n"/>
      <c r="I21" s="46" t="n"/>
      <c r="J21" s="47" t="n"/>
      <c r="K21" s="47" t="n"/>
      <c r="L21" s="49" t="n"/>
      <c r="M21" s="44" t="n"/>
    </row>
    <row r="22">
      <c r="A22" s="44" t="n"/>
      <c r="B22" s="45" t="n"/>
      <c r="C22" s="161">
        <f>IF(A22&gt;0,(A22&amp;" "&amp;B22),"")</f>
        <v/>
      </c>
      <c r="D22" s="44" t="n"/>
      <c r="E22" s="44" t="n"/>
      <c r="F22" s="44" t="n"/>
      <c r="G22" s="44" t="n"/>
      <c r="H22" s="44" t="n"/>
      <c r="I22" s="46" t="n"/>
      <c r="J22" s="47" t="n"/>
      <c r="K22" s="47" t="n"/>
      <c r="L22" s="49" t="n"/>
      <c r="M22" s="44" t="n"/>
    </row>
    <row r="23">
      <c r="A23" s="44" t="n"/>
      <c r="B23" s="45" t="n"/>
      <c r="C23" s="161">
        <f>IF(A23&gt;0,(A23&amp;" "&amp;B23),"")</f>
        <v/>
      </c>
      <c r="D23" s="44" t="n"/>
      <c r="E23" s="44" t="n"/>
      <c r="F23" s="44" t="n"/>
      <c r="G23" s="44" t="n"/>
      <c r="H23" s="44" t="n"/>
      <c r="I23" s="46" t="n"/>
      <c r="J23" s="47" t="n"/>
      <c r="K23" s="47" t="n"/>
      <c r="L23" s="49" t="n"/>
      <c r="M23" s="44" t="n"/>
    </row>
    <row r="24">
      <c r="A24" s="44" t="n"/>
      <c r="B24" s="45" t="n"/>
      <c r="C24" s="161">
        <f>IF(A24&gt;0,(A24&amp;" "&amp;B24),"")</f>
        <v/>
      </c>
      <c r="D24" s="44" t="n"/>
      <c r="E24" s="44" t="n"/>
      <c r="F24" s="44" t="n"/>
      <c r="G24" s="44" t="n"/>
      <c r="H24" s="44" t="n"/>
      <c r="I24" s="46" t="n"/>
      <c r="J24" s="47" t="n"/>
      <c r="K24" s="47" t="n"/>
      <c r="L24" s="49" t="n"/>
      <c r="M24" s="44" t="n"/>
    </row>
    <row r="25">
      <c r="A25" s="44" t="n"/>
      <c r="B25" s="45" t="n"/>
      <c r="C25" s="161">
        <f>IF(A25&gt;0,(A25&amp;" "&amp;B25),"")</f>
        <v/>
      </c>
      <c r="D25" s="44" t="n"/>
      <c r="E25" s="44" t="n"/>
      <c r="F25" s="44" t="n"/>
      <c r="G25" s="44" t="n"/>
      <c r="H25" s="44" t="n"/>
      <c r="I25" s="46" t="n"/>
      <c r="J25" s="47" t="n"/>
      <c r="K25" s="47" t="n"/>
      <c r="L25" s="49" t="n"/>
      <c r="M25" s="44" t="n"/>
    </row>
    <row r="26">
      <c r="A26" s="44" t="n"/>
      <c r="B26" s="45" t="n"/>
      <c r="C26" s="161">
        <f>IF(A26&gt;0,(A26&amp;" "&amp;B26),"")</f>
        <v/>
      </c>
      <c r="D26" s="44" t="n"/>
      <c r="E26" s="44" t="n"/>
      <c r="F26" s="44" t="n"/>
      <c r="G26" s="44" t="n"/>
      <c r="H26" s="44" t="n"/>
      <c r="I26" s="46" t="n"/>
      <c r="J26" s="47" t="n"/>
      <c r="K26" s="47" t="n"/>
      <c r="L26" s="49" t="n"/>
      <c r="M26" s="44" t="n"/>
    </row>
    <row r="27">
      <c r="A27" s="44" t="n"/>
      <c r="B27" s="45" t="n"/>
      <c r="C27" s="161">
        <f>IF(A27&gt;0,(A27&amp;" "&amp;B27),"")</f>
        <v/>
      </c>
      <c r="D27" s="44" t="n"/>
      <c r="E27" s="44" t="n"/>
      <c r="F27" s="44" t="n"/>
      <c r="G27" s="44" t="n"/>
      <c r="H27" s="44" t="n"/>
      <c r="I27" s="46" t="n"/>
      <c r="J27" s="47" t="n"/>
      <c r="K27" s="47" t="n"/>
      <c r="L27" s="49" t="n"/>
      <c r="M27" s="44" t="n"/>
    </row>
    <row r="28">
      <c r="A28" s="44" t="n"/>
      <c r="B28" s="45" t="n"/>
      <c r="C28" s="161">
        <f>IF(A28&gt;0,(A28&amp;" "&amp;B28),"")</f>
        <v/>
      </c>
      <c r="D28" s="44" t="n"/>
      <c r="E28" s="44" t="n"/>
      <c r="F28" s="44" t="n"/>
      <c r="G28" s="44" t="n"/>
      <c r="H28" s="44" t="n"/>
      <c r="I28" s="46" t="n"/>
      <c r="J28" s="47" t="n"/>
      <c r="K28" s="47" t="n"/>
      <c r="L28" s="49" t="n"/>
      <c r="M28" s="44" t="n"/>
    </row>
    <row r="29">
      <c r="A29" s="44" t="n"/>
      <c r="B29" s="45" t="n"/>
      <c r="C29" s="161">
        <f>IF(A29&gt;0,(A29&amp;" "&amp;B29),"")</f>
        <v/>
      </c>
      <c r="D29" s="44" t="n"/>
      <c r="E29" s="44" t="n"/>
      <c r="F29" s="44" t="n"/>
      <c r="G29" s="44" t="n"/>
      <c r="H29" s="44" t="n"/>
      <c r="I29" s="46" t="n"/>
      <c r="J29" s="47" t="n"/>
      <c r="K29" s="47" t="n"/>
      <c r="L29" s="49" t="n"/>
      <c r="M29" s="44" t="n"/>
    </row>
    <row r="30">
      <c r="A30" s="44" t="n"/>
      <c r="B30" s="45" t="n"/>
      <c r="C30" s="161">
        <f>IF(A30&gt;0,(A30&amp;" "&amp;B30),"")</f>
        <v/>
      </c>
      <c r="D30" s="44" t="n"/>
      <c r="E30" s="44" t="n"/>
      <c r="F30" s="44" t="n"/>
      <c r="G30" s="44" t="n"/>
      <c r="H30" s="44" t="n"/>
      <c r="I30" s="46" t="n"/>
      <c r="J30" s="47" t="n"/>
      <c r="K30" s="47" t="n"/>
      <c r="L30" s="49" t="n"/>
      <c r="M30" s="44" t="n"/>
    </row>
    <row r="31">
      <c r="A31" s="44" t="n"/>
      <c r="B31" s="45" t="n"/>
      <c r="C31" s="161">
        <f>IF(A31&gt;0,(A31&amp;" "&amp;B31),"")</f>
        <v/>
      </c>
      <c r="D31" s="44" t="n"/>
      <c r="E31" s="44" t="n"/>
      <c r="F31" s="44" t="n"/>
      <c r="G31" s="44" t="n"/>
      <c r="H31" s="44" t="n"/>
      <c r="I31" s="46" t="n"/>
      <c r="J31" s="47" t="n"/>
      <c r="K31" s="47" t="n"/>
      <c r="L31" s="49" t="n"/>
      <c r="M31" s="44" t="n"/>
    </row>
    <row r="32">
      <c r="A32" s="44" t="n"/>
      <c r="B32" s="45" t="n"/>
      <c r="C32" s="161">
        <f>IF(A32&gt;0,(A32&amp;" "&amp;B32),"")</f>
        <v/>
      </c>
      <c r="D32" s="44" t="n"/>
      <c r="E32" s="44" t="n"/>
      <c r="F32" s="44" t="n"/>
      <c r="G32" s="44" t="n"/>
      <c r="H32" s="44" t="n"/>
      <c r="I32" s="46" t="n"/>
      <c r="J32" s="47" t="n"/>
      <c r="K32" s="47" t="n"/>
      <c r="L32" s="49" t="n"/>
      <c r="M32" s="44" t="n"/>
    </row>
    <row r="33">
      <c r="A33" s="44" t="n"/>
      <c r="B33" s="45" t="n"/>
      <c r="C33" s="161">
        <f>IF(A33&gt;0,(A33&amp;" "&amp;B33),"")</f>
        <v/>
      </c>
      <c r="D33" s="44" t="n"/>
      <c r="E33" s="44" t="n"/>
      <c r="F33" s="44" t="n"/>
      <c r="G33" s="44" t="n"/>
      <c r="H33" s="44" t="n"/>
      <c r="I33" s="46" t="n"/>
      <c r="J33" s="47" t="n"/>
      <c r="K33" s="47" t="n"/>
      <c r="L33" s="49" t="n"/>
      <c r="M33" s="44" t="n"/>
    </row>
    <row r="34">
      <c r="A34" s="44" t="n"/>
      <c r="B34" s="45" t="n"/>
      <c r="C34" s="161">
        <f>IF(A34&gt;0,(A34&amp;" "&amp;B34),"")</f>
        <v/>
      </c>
      <c r="D34" s="44" t="n"/>
      <c r="E34" s="44" t="n"/>
      <c r="F34" s="44" t="n"/>
      <c r="G34" s="44" t="n"/>
      <c r="H34" s="44" t="n"/>
      <c r="I34" s="46" t="n"/>
      <c r="J34" s="47" t="n"/>
      <c r="K34" s="47" t="n"/>
      <c r="L34" s="49" t="n"/>
      <c r="M34" s="44" t="n"/>
    </row>
    <row r="35">
      <c r="A35" s="44" t="n"/>
      <c r="B35" s="45" t="n"/>
      <c r="C35" s="161">
        <f>IF(A35&gt;0,(A35&amp;" "&amp;B35),"")</f>
        <v/>
      </c>
      <c r="D35" s="44" t="n"/>
      <c r="E35" s="44" t="n"/>
      <c r="F35" s="44" t="n"/>
      <c r="G35" s="44" t="n"/>
      <c r="H35" s="44" t="n"/>
      <c r="I35" s="46" t="n"/>
      <c r="J35" s="47" t="n"/>
      <c r="K35" s="47" t="n"/>
      <c r="L35" s="49" t="n"/>
      <c r="M35" s="44" t="n"/>
    </row>
    <row r="36">
      <c r="A36" s="44" t="n"/>
      <c r="B36" s="45" t="n"/>
      <c r="C36" s="161">
        <f>IF(A36&gt;0,(A36&amp;" "&amp;B36),"")</f>
        <v/>
      </c>
      <c r="D36" s="44" t="n"/>
      <c r="E36" s="44" t="n"/>
      <c r="F36" s="44" t="n"/>
      <c r="G36" s="44" t="n"/>
      <c r="H36" s="44" t="n"/>
      <c r="I36" s="46" t="n"/>
      <c r="J36" s="47" t="n"/>
      <c r="K36" s="47" t="n"/>
      <c r="L36" s="49" t="n"/>
      <c r="M36" s="44" t="n"/>
    </row>
    <row r="37">
      <c r="A37" s="44" t="n"/>
      <c r="B37" s="45" t="n"/>
      <c r="C37" s="161">
        <f>IF(A37&gt;0,(A37&amp;" "&amp;B37),"")</f>
        <v/>
      </c>
      <c r="D37" s="44" t="n"/>
      <c r="E37" s="44" t="n"/>
      <c r="F37" s="44" t="n"/>
      <c r="G37" s="44" t="n"/>
      <c r="H37" s="44" t="n"/>
      <c r="I37" s="46" t="n"/>
      <c r="J37" s="47" t="n"/>
      <c r="K37" s="47" t="n"/>
      <c r="L37" s="49" t="n"/>
      <c r="M37" s="44" t="n"/>
    </row>
    <row r="38">
      <c r="A38" s="44" t="n"/>
      <c r="B38" s="45" t="n"/>
      <c r="C38" s="161">
        <f>IF(A38&gt;0,(A38&amp;" "&amp;B38),"")</f>
        <v/>
      </c>
      <c r="D38" s="44" t="n"/>
      <c r="E38" s="44" t="n"/>
      <c r="F38" s="44" t="n"/>
      <c r="G38" s="44" t="n"/>
      <c r="H38" s="44" t="n"/>
      <c r="I38" s="46" t="n"/>
      <c r="J38" s="47" t="n"/>
      <c r="K38" s="47" t="n"/>
      <c r="L38" s="49" t="n"/>
      <c r="M38" s="44" t="n"/>
    </row>
    <row r="39">
      <c r="A39" s="44" t="n"/>
      <c r="B39" s="45" t="n"/>
      <c r="C39" s="161">
        <f>IF(A39&gt;0,(A39&amp;" "&amp;B39),"")</f>
        <v/>
      </c>
      <c r="D39" s="44" t="n"/>
      <c r="E39" s="44" t="n"/>
      <c r="F39" s="44" t="n"/>
      <c r="G39" s="44" t="n"/>
      <c r="H39" s="44" t="n"/>
      <c r="I39" s="46" t="n"/>
      <c r="J39" s="47" t="n"/>
      <c r="K39" s="47" t="n"/>
      <c r="L39" s="49" t="n"/>
      <c r="M39" s="44" t="n"/>
    </row>
    <row r="40">
      <c r="A40" s="44" t="n"/>
      <c r="B40" s="45" t="n"/>
      <c r="C40" s="161">
        <f>IF(A40&gt;0,(A40&amp;" "&amp;B40),"")</f>
        <v/>
      </c>
      <c r="D40" s="44" t="n"/>
      <c r="E40" s="44" t="n"/>
      <c r="F40" s="44" t="n"/>
      <c r="G40" s="44" t="n"/>
      <c r="H40" s="44" t="n"/>
      <c r="I40" s="46" t="n"/>
      <c r="J40" s="47" t="n"/>
      <c r="K40" s="47" t="n"/>
      <c r="L40" s="49" t="n"/>
      <c r="M40" s="44" t="n"/>
    </row>
  </sheetData>
  <sheetProtection selectLockedCells="0" selectUnlockedCells="0" algorithmName="SHA-512" sheet="1" objects="0" insertRows="1" insertHyperlinks="1" autoFilter="1" scenarios="0" formatColumns="1" deleteColumns="1" insertColumns="1" pivotTables="1" deleteRows="1" formatCells="1" saltValue="mJi6Z46NyrjjRvmr0pmhOw==" formatRows="1" sort="1" spinCount="100000" hashValue="2JbGcnyWnbFr+pPT4Fybjvu70oM2Oa2tND2tPilDzrkuUOgrX2N7je0Jo9ZTiUjsNYJrRgZ9zGESyjdgAkvZ7w=="/>
  <mergeCells count="2">
    <mergeCell ref="L1:M1"/>
    <mergeCell ref="A3:M3"/>
  </mergeCells>
  <dataValidations count="1">
    <dataValidation sqref="K6:K40" showDropDown="0" showInputMessage="1" showErrorMessage="1" allowBlank="1" type="date">
      <formula1>1</formula1>
      <formula2>109939</formula2>
    </dataValidation>
  </dataValidations>
  <hyperlinks>
    <hyperlink xmlns:r="http://schemas.openxmlformats.org/officeDocument/2006/relationships" ref="A3" display="Saisir les coordonnées des collaborateurs·trices du club dans les cellules en couleur de ce tableau. Celles des artistes placé·es par l'ASLM sont publiées dans le Registre des artistes disponible sur Intranet." r:id="rId1"/>
  </hyperlinks>
  <pageMargins left="0.7" right="0.7" top="0.75" bottom="0.75" header="0.3" footer="0.3"/>
  <pageSetup orientation="portrait" paperSize="9" scale="36" horizontalDpi="0" verticalDpi="0"/>
</worksheet>
</file>

<file path=xl/worksheets/sheet4.xml><?xml version="1.0" encoding="utf-8"?>
<worksheet xmlns="http://schemas.openxmlformats.org/spreadsheetml/2006/main">
  <sheetPr>
    <outlinePr summaryBelow="1" summaryRight="1"/>
    <pageSetUpPr fitToPage="1"/>
  </sheetPr>
  <dimension ref="A1:N137"/>
  <sheetViews>
    <sheetView topLeftCell="D29" zoomScaleNormal="100" workbookViewId="0">
      <selection activeCell="D65" sqref="D65"/>
    </sheetView>
  </sheetViews>
  <sheetFormatPr baseColWidth="10" defaultRowHeight="14"/>
  <cols>
    <col hidden="1" width="19.83203125" customWidth="1" style="4" min="1" max="1"/>
    <col hidden="1" width="21.83203125" customWidth="1" style="4" min="2" max="2"/>
    <col hidden="1" width="8.1640625" customWidth="1" style="4" min="3" max="3"/>
    <col width="40.83203125" customWidth="1" style="4" min="4" max="4"/>
    <col width="25.83203125" customWidth="1" style="4" min="5" max="5"/>
    <col width="11.33203125" bestFit="1" customWidth="1" style="4" min="6" max="6"/>
    <col width="14.6640625" bestFit="1" customWidth="1" style="50" min="7" max="7"/>
    <col width="19" bestFit="1" customWidth="1" style="4" min="8" max="8"/>
    <col hidden="1" width="18.5" customWidth="1" style="4" min="9" max="11"/>
    <col width="18.5" customWidth="1" style="4" min="12" max="13"/>
    <col width="60.83203125" customWidth="1" style="4" min="14" max="14"/>
    <col width="16.6640625" bestFit="1" customWidth="1" style="4" min="15" max="15"/>
    <col width="10.83203125" customWidth="1" style="4" min="16" max="16384"/>
  </cols>
  <sheetData>
    <row r="1">
      <c r="N1" s="233">
        <f>IF(ISBLANK('1. Configuration'!B8),"",'1. Configuration'!B8)</f>
        <v/>
      </c>
    </row>
    <row r="2" ht="19" customHeight="1">
      <c r="D2" s="3" t="inlineStr">
        <is>
          <t>3. Prestations</t>
        </is>
      </c>
    </row>
    <row r="3" ht="16" customHeight="1">
      <c r="D3" s="41" t="inlineStr">
        <is>
          <t>Sélectionner les collaborateurs·trices intervenant dans le cadre de chacune des 9 séances du club et renseigner leur fonction.</t>
        </is>
      </c>
    </row>
    <row r="4" ht="15" customHeight="1" thickBot="1"/>
    <row r="5">
      <c r="D5" s="117">
        <f>TEXT(DAY('1. Configuration'!B24),"00")&amp;"."&amp;TEXT(MONTH('1. Configuration'!B24),"00")&amp;"."&amp;TEXT(YEAR('1. Configuration'!B24),"00")&amp;" | "&amp;'1. Configuration'!A24</f>
        <v/>
      </c>
      <c r="E5" s="118" t="n"/>
      <c r="F5" s="118" t="n"/>
      <c r="G5" s="119" t="n"/>
      <c r="H5" s="122" t="inlineStr">
        <is>
          <t>Soumis à cotisation</t>
        </is>
      </c>
      <c r="I5" s="120" t="n"/>
      <c r="J5" s="120" t="n"/>
      <c r="K5" s="120" t="n"/>
      <c r="L5" s="120" t="inlineStr">
        <is>
          <t>Non-soumis à cotisation</t>
        </is>
      </c>
      <c r="M5" s="121" t="n"/>
      <c r="N5" s="165" t="n"/>
    </row>
    <row r="6" ht="15" customHeight="1" thickBot="1">
      <c r="A6" s="4" t="inlineStr">
        <is>
          <t>Index Déclaration AVS</t>
        </is>
      </c>
      <c r="B6" s="4" t="inlineStr">
        <is>
          <t>Index cerficats de salaire</t>
        </is>
      </c>
      <c r="C6" s="51">
        <f>'1. Configuration'!B24</f>
        <v/>
      </c>
      <c r="D6" s="123" t="inlineStr">
        <is>
          <t>Collaborateur·trice</t>
        </is>
      </c>
      <c r="E6" s="142" t="inlineStr">
        <is>
          <t>Fonction</t>
        </is>
      </c>
      <c r="F6" s="142" t="inlineStr">
        <is>
          <t>Statut</t>
        </is>
      </c>
      <c r="G6" s="116" t="inlineStr">
        <is>
          <t>Déclaration AVS</t>
        </is>
      </c>
      <c r="H6" s="126" t="inlineStr">
        <is>
          <t>Salaire brut (incl. vac)</t>
        </is>
      </c>
      <c r="I6" s="124" t="n"/>
      <c r="J6" s="124" t="n"/>
      <c r="K6" s="124" t="n"/>
      <c r="L6" s="124" t="inlineStr">
        <is>
          <t>Cachet</t>
        </is>
      </c>
      <c r="M6" s="127" t="inlineStr">
        <is>
          <t>Autre</t>
        </is>
      </c>
      <c r="N6" s="162" t="n"/>
    </row>
    <row r="7">
      <c r="A7" s="4">
        <f>IF(F7='1. Configuration'!$C$12,"",IF((G7='1. Configuration'!$C$51),(IF(D7&gt;0,(IF(COUNTIF($D$6:D6,D7)&gt;0,"",MAX($A$6:A6)+1)),"")),""))</f>
        <v/>
      </c>
      <c r="B7" s="4">
        <f t="array" ref="B7">IF((F7='1. Configuration'!$B$12),(IF(D7&gt;0,(IF(COUNTIF($D$6:D6,D7)&gt;0,"",MAX($B$6:B6)+1)),"")),"")</f>
        <v/>
      </c>
      <c r="C7" s="4">
        <f>D7&amp;C$6</f>
        <v/>
      </c>
      <c r="D7" s="71" t="inlineStr">
        <is>
          <t>Camille Exemple</t>
        </is>
      </c>
      <c r="E7" s="134" t="inlineStr">
        <is>
          <t>Savant·e</t>
        </is>
      </c>
      <c r="F7" s="144">
        <f t="array" ref="F7">IFERROR(IF(INDEX('2. Collaborateurs·trices'!$A$6:$M$40,(MATCH('3. Prestations'!D7,'2. Collaborateurs·trices'!$C$6:$C$40,0)),8)=0,'1. Configuration'!$B$12,INDEX('2. Collaborateurs·trices'!$A$6:$M$40,(MATCH('3. Prestations'!D7,'2. Collaborateurs·trices'!$C$6:$C$40,0)),8)),'1. Configuration'!$B$12)</f>
        <v/>
      </c>
      <c r="G7" s="139">
        <f t="array" ref="G7">IFERROR(IF((INDEX('2. Collaborateurs·trices'!$A$6:$M$40,(MATCH('3. Prestations'!D7,'2. Collaborateurs·trices'!$C$6:$C$40,0)),10)=0),'1. Configuration'!$C$51,INDEX('2. Collaborateurs·trices'!$A$6:$M$40,(MATCH('3. Prestations'!D7,'2. Collaborateurs·trices'!$C$6:$C$40,0)),10)),IF(E7="","",'1. Configuration'!$C$51))</f>
        <v/>
      </c>
      <c r="H7" s="57">
        <f t="array" ref="H7">IFERROR(IF(AND(F7='1. Configuration'!$B$12,G7='1. Configuration'!$C$51),IF((F7='1. Configuration'!$B$12),(VLOOKUP(E7,'1. Configuration'!$A$13:$C$21,2,)),""),""),"")</f>
        <v/>
      </c>
      <c r="I7" s="53" t="n"/>
      <c r="J7" s="54" t="n"/>
      <c r="K7" s="55" t="n"/>
      <c r="L7" s="58">
        <f t="array" ref="L7">IFERROR(IF((F7='1. Configuration'!$C$12),(VLOOKUP(E7,'1. Configuration'!$A$13:$C$21,3,)),(IF((G7='1. Configuration'!$B$51),(VLOOKUP(E7,'1. Configuration'!$A$13:$C$21,2,)),""))),"")</f>
        <v/>
      </c>
      <c r="M7" s="163" t="n"/>
      <c r="N7" s="166" t="n"/>
    </row>
    <row r="8">
      <c r="A8" s="4">
        <f>IF(F8='1. Configuration'!$C$12,"",IF((G8='1. Configuration'!$C$51),(IF(D8&gt;0,(IF(COUNTIF($D$6:D7,D8)&gt;0,"",MAX($A$6:A7)+1)),"")),""))</f>
        <v/>
      </c>
      <c r="B8" s="4">
        <f>IF((F8='1. Configuration'!$B$12),(IF(D8&gt;0,(IF(COUNTIF($D$6:D7,D8)&gt;0,"",MAX($B$6:B7)+1)),"")),"")</f>
        <v/>
      </c>
      <c r="C8" s="4">
        <f>D8&amp;C$6</f>
        <v/>
      </c>
      <c r="D8" s="71" t="inlineStr">
        <is>
          <t>Noa Indep</t>
        </is>
      </c>
      <c r="E8" s="135" t="inlineStr">
        <is>
          <t>Artiste</t>
        </is>
      </c>
      <c r="F8" s="143">
        <f t="array" ref="F8">IFERROR(IF(INDEX('2. Collaborateurs·trices'!$A$6:$M$40,(MATCH('3. Prestations'!D8,'2. Collaborateurs·trices'!$C$6:$C$40,0)),8)=0,'1. Configuration'!$B$12,INDEX('2. Collaborateurs·trices'!$A$6:$M$40,(MATCH('3. Prestations'!D8,'2. Collaborateurs·trices'!$C$6:$C$40,0)),8)),'1. Configuration'!$B$12)</f>
        <v/>
      </c>
      <c r="G8" s="140">
        <f t="array" ref="G8">IFERROR(IF((INDEX('2. Collaborateurs·trices'!$A$6:$M$40,(MATCH('3. Prestations'!D8,'2. Collaborateurs·trices'!$C$6:$C$40,0)),10)=0),'1. Configuration'!$C$51,INDEX('2. Collaborateurs·trices'!$A$6:$M$40,(MATCH('3. Prestations'!D8,'2. Collaborateurs·trices'!$C$6:$C$40,0)),10)),IF(E8="","",'1. Configuration'!$C$51))</f>
        <v/>
      </c>
      <c r="H8" s="57">
        <f t="array" ref="H8">IFERROR(IF(AND(F8='1. Configuration'!$B$12,G8='1. Configuration'!$C$51),IF((F8='1. Configuration'!$B$12),(VLOOKUP(E8,'1. Configuration'!$A$13:$C$21,2,)),""),""),"")</f>
        <v/>
      </c>
      <c r="I8" s="53" t="n"/>
      <c r="J8" s="54" t="n"/>
      <c r="K8" s="55" t="n"/>
      <c r="L8" s="58">
        <f t="array" ref="L8">IFERROR(IF((F8='1. Configuration'!$C$12),(VLOOKUP(E8,'1. Configuration'!$A$13:$C$21,3,)),(IF((G8='1. Configuration'!$B$51),(VLOOKUP(E8,'1. Configuration'!$A$13:$C$21,2,)),""))),"")</f>
        <v/>
      </c>
      <c r="M8" s="163" t="n"/>
      <c r="N8" s="167" t="n"/>
    </row>
    <row r="9">
      <c r="A9" s="4">
        <f>IF(F9='1. Configuration'!$C$12,"",IF((G9='1. Configuration'!$C$51),(IF(D9&gt;0,(IF(COUNTIF($D$6:D8,D9)&gt;0,"",MAX($A$6:A8)+1)),"")),""))</f>
        <v/>
      </c>
      <c r="B9" s="4">
        <f t="array" ref="B9">IF((F9='1. Configuration'!$B$12),(IF(D9&gt;0,(IF(COUNTIF($D$6:D8,D9)&gt;0,"",MAX($B$6:B8)+1)),"")),"")</f>
        <v/>
      </c>
      <c r="C9" s="4">
        <f>D9&amp;C$6</f>
        <v/>
      </c>
      <c r="D9" s="71" t="n"/>
      <c r="E9" s="135" t="n"/>
      <c r="F9" s="143">
        <f t="array" ref="F9">IFERROR(IF(INDEX('2. Collaborateurs·trices'!$A$6:$M$40,(MATCH('3. Prestations'!D9,'2. Collaborateurs·trices'!$C$6:$C$40,0)),8)=0,'1. Configuration'!$B$12,INDEX('2. Collaborateurs·trices'!$A$6:$M$40,(MATCH('3. Prestations'!D9,'2. Collaborateurs·trices'!$C$6:$C$40,0)),8)),'1. Configuration'!$B$12)</f>
        <v/>
      </c>
      <c r="G9" s="140">
        <f t="array" ref="G9">IFERROR(IF((INDEX('2. Collaborateurs·trices'!$A$6:$M$40,(MATCH('3. Prestations'!D9,'2. Collaborateurs·trices'!$C$6:$C$40,0)),10)=0),'1. Configuration'!$C$51,INDEX('2. Collaborateurs·trices'!$A$6:$M$40,(MATCH('3. Prestations'!D9,'2. Collaborateurs·trices'!$C$6:$C$40,0)),10)),IF(E9="","",'1. Configuration'!$C$51))</f>
        <v/>
      </c>
      <c r="H9" s="57">
        <f t="array" ref="H9">IFERROR(IF(AND(F9='1. Configuration'!$B$12,G9='1. Configuration'!$C$51),IF((F9='1. Configuration'!$B$12),(VLOOKUP(E9,'1. Configuration'!$A$13:$C$21,2,)),""),""),"")</f>
        <v/>
      </c>
      <c r="I9" s="53" t="n"/>
      <c r="J9" s="54" t="n"/>
      <c r="K9" s="55" t="n"/>
      <c r="L9" s="58">
        <f t="array" ref="L9">IFERROR(IF((F9='1. Configuration'!$C$12),(VLOOKUP(E9,'1. Configuration'!$A$13:$C$21,3,)),(IF((G9='1. Configuration'!$B$51),(VLOOKUP(E9,'1. Configuration'!$A$13:$C$21,2,)),""))),"")</f>
        <v/>
      </c>
      <c r="M9" s="163" t="n"/>
      <c r="N9" s="167" t="n"/>
    </row>
    <row r="10">
      <c r="A10" s="4">
        <f>IF(F10='1. Configuration'!$C$12,"",IF((G10='1. Configuration'!$C$51),(IF(D10&gt;0,(IF(COUNTIF($D$6:D9,D10)&gt;0,"",MAX($A$6:A9)+1)),"")),""))</f>
        <v/>
      </c>
      <c r="B10" s="4">
        <f t="array" ref="B10">IF((F10='1. Configuration'!$B$12),(IF(D10&gt;0,(IF(COUNTIF($D$6:D9,D10)&gt;0,"",MAX($B$6:B9)+1)),"")),"")</f>
        <v/>
      </c>
      <c r="C10" s="4">
        <f>D10&amp;C$6</f>
        <v/>
      </c>
      <c r="D10" s="71" t="n"/>
      <c r="E10" s="135" t="n"/>
      <c r="F10" s="143">
        <f t="array" ref="F10">IFERROR(IF(INDEX('2. Collaborateurs·trices'!$A$6:$M$40,(MATCH('3. Prestations'!D10,'2. Collaborateurs·trices'!$C$6:$C$40,0)),8)=0,'1. Configuration'!$B$12,INDEX('2. Collaborateurs·trices'!$A$6:$M$40,(MATCH('3. Prestations'!D10,'2. Collaborateurs·trices'!$C$6:$C$40,0)),8)),"")</f>
        <v/>
      </c>
      <c r="G10" s="140">
        <f t="array" ref="G10">IFERROR(IF((INDEX('2. Collaborateurs·trices'!$A$6:$M$40,(MATCH('3. Prestations'!D10,'2. Collaborateurs·trices'!$C$6:$C$40,0)),10)=0),'1. Configuration'!$C$51,INDEX('2. Collaborateurs·trices'!$A$6:$M$40,(MATCH('3. Prestations'!D10,'2. Collaborateurs·trices'!$C$6:$C$40,0)),10)),IF(E10="","",'1. Configuration'!$C$51))</f>
        <v/>
      </c>
      <c r="H10" s="57">
        <f t="array" ref="H10">IFERROR(IF(AND(F10='1. Configuration'!$B$12,G10='1. Configuration'!$C$51),IF((F10='1. Configuration'!$B$12),(VLOOKUP(E10,'1. Configuration'!$A$13:$C$21,2,)),""),""),"")</f>
        <v/>
      </c>
      <c r="I10" s="53" t="n"/>
      <c r="J10" s="54" t="n"/>
      <c r="K10" s="55" t="n"/>
      <c r="L10" s="58">
        <f t="array" ref="L10">IFERROR(IF((F10='1. Configuration'!$C$12),(VLOOKUP(E10,'1. Configuration'!$A$13:$C$21,3,)),(IF((G10='1. Configuration'!$B$51),(VLOOKUP(E10,'1. Configuration'!$A$13:$C$21,2,)),""))),"")</f>
        <v/>
      </c>
      <c r="M10" s="163" t="n"/>
      <c r="N10" s="167" t="n"/>
    </row>
    <row r="11">
      <c r="A11" s="4">
        <f>IF(F11='1. Configuration'!$C$12,"",IF((G11='1. Configuration'!$C$51),(IF(D11&gt;0,(IF(COUNTIF($D$6:D8,D11)&gt;0,"",MAX($A$6:A8)+1)),"")),""))</f>
        <v/>
      </c>
      <c r="B11" s="4">
        <f t="array" ref="B11">IF((F11='1. Configuration'!$B$12),(IF(D11&gt;0,(IF(COUNTIF($D$6:D10,D11)&gt;0,"",MAX($B$6:B10)+1)),"")),"")</f>
        <v/>
      </c>
      <c r="C11" s="4">
        <f>D11&amp;C$6</f>
        <v/>
      </c>
      <c r="D11" s="71" t="n"/>
      <c r="E11" s="135" t="n"/>
      <c r="F11" s="143">
        <f t="array" ref="F11">IFERROR(IF(INDEX('2. Collaborateurs·trices'!$A$6:$M$40,(MATCH('3. Prestations'!D11,'2. Collaborateurs·trices'!$C$6:$C$40,0)),8)=0,'1. Configuration'!$B$12,INDEX('2. Collaborateurs·trices'!$A$6:$M$40,(MATCH('3. Prestations'!D11,'2. Collaborateurs·trices'!$C$6:$C$40,0)),8)),"")</f>
        <v/>
      </c>
      <c r="G11" s="140">
        <f t="array" ref="G11">IFERROR(IF((INDEX('2. Collaborateurs·trices'!$A$6:$M$40,(MATCH('3. Prestations'!D11,'2. Collaborateurs·trices'!$C$6:$C$40,0)),10)=0),'1. Configuration'!$C$51,INDEX('2. Collaborateurs·trices'!$A$6:$M$40,(MATCH('3. Prestations'!D11,'2. Collaborateurs·trices'!$C$6:$C$40,0)),10)),IF(E11="","",'1. Configuration'!$C$51))</f>
        <v/>
      </c>
      <c r="H11" s="57">
        <f t="array" ref="H11">IFERROR(IF(AND(F11='1. Configuration'!$B$12,G11='1. Configuration'!$C$51),IF((F11='1. Configuration'!$B$12),(VLOOKUP(E11,'1. Configuration'!$A$13:$C$21,2,)),""),""),"")</f>
        <v/>
      </c>
      <c r="I11" s="53" t="n"/>
      <c r="J11" s="54" t="n"/>
      <c r="K11" s="55" t="n"/>
      <c r="L11" s="58">
        <f t="array" ref="L11">IFERROR(IF((F11='1. Configuration'!$C$12),(VLOOKUP(E11,'1. Configuration'!$A$13:$C$21,3,)),(IF((G11='1. Configuration'!$B$51),(VLOOKUP(E11,'1. Configuration'!$A$13:$C$21,2,)),""))),"")</f>
        <v/>
      </c>
      <c r="M11" s="163" t="n"/>
      <c r="N11" s="167" t="n"/>
    </row>
    <row r="12">
      <c r="A12" s="4">
        <f>IF(F12='1. Configuration'!$C$12,"",IF((G12='1. Configuration'!$C$51),(IF(D12&gt;0,(IF(COUNTIF($D$6:D9,D12)&gt;0,"",MAX($A$6:A9)+1)),"")),""))</f>
        <v/>
      </c>
      <c r="B12" s="4">
        <f t="array" ref="B12">IF((F12='1. Configuration'!$B$12),(IF(D12&gt;0,(IF(COUNTIF($D$6:D11,D12)&gt;0,"",MAX($B$6:B11)+1)),"")),"")</f>
        <v/>
      </c>
      <c r="C12" s="4">
        <f>D12&amp;C$6</f>
        <v/>
      </c>
      <c r="D12" s="71" t="n"/>
      <c r="E12" s="135" t="n"/>
      <c r="F12" s="143">
        <f t="array" ref="F12">IFERROR(IF(INDEX('2. Collaborateurs·trices'!$A$6:$M$40,(MATCH('3. Prestations'!D12,'2. Collaborateurs·trices'!$C$6:$C$40,0)),8)=0,'1. Configuration'!$B$12,INDEX('2. Collaborateurs·trices'!$A$6:$M$40,(MATCH('3. Prestations'!D12,'2. Collaborateurs·trices'!$C$6:$C$40,0)),8)),"")</f>
        <v/>
      </c>
      <c r="G12" s="140">
        <f t="array" ref="G12">IFERROR(IF((INDEX('2. Collaborateurs·trices'!$A$6:$M$40,(MATCH('3. Prestations'!D12,'2. Collaborateurs·trices'!$C$6:$C$40,0)),10)=0),'1. Configuration'!$C$51,INDEX('2. Collaborateurs·trices'!$A$6:$M$40,(MATCH('3. Prestations'!D12,'2. Collaborateurs·trices'!$C$6:$C$40,0)),10)),IF(E12="","",'1. Configuration'!$C$51))</f>
        <v/>
      </c>
      <c r="H12" s="57">
        <f t="array" ref="H12">IFERROR(IF(AND(F12='1. Configuration'!$B$12,G12='1. Configuration'!$C$51),IF((F12='1. Configuration'!$B$12),(VLOOKUP(E12,'1. Configuration'!$A$13:$C$21,2,)),""),""),"")</f>
        <v/>
      </c>
      <c r="I12" s="53" t="n"/>
      <c r="J12" s="54" t="n"/>
      <c r="K12" s="55" t="n"/>
      <c r="L12" s="58">
        <f t="array" ref="L12">IFERROR(IF((F12='1. Configuration'!$C$12),(VLOOKUP(E12,'1. Configuration'!$A$13:$C$21,3,)),(IF((G12='1. Configuration'!$B$51),(VLOOKUP(E12,'1. Configuration'!$A$13:$C$21,2,)),""))),"")</f>
        <v/>
      </c>
      <c r="M12" s="163" t="n"/>
      <c r="N12" s="167" t="n"/>
    </row>
    <row r="13">
      <c r="A13" s="4">
        <f>IF(F13='1. Configuration'!$C$12,"",IF((G13='1. Configuration'!$C$51),(IF(D13&gt;0,(IF(COUNTIF($D$6:D10,D13)&gt;0,"",MAX($A$6:A10)+1)),"")),""))</f>
        <v/>
      </c>
      <c r="B13" s="4">
        <f t="array" ref="B13">IF((F13='1. Configuration'!$B$12),(IF(D13&gt;0,(IF(COUNTIF($D$6:D12,D13)&gt;0,"",MAX($B$6:B12)+1)),"")),"")</f>
        <v/>
      </c>
      <c r="C13" s="4">
        <f>D13&amp;C$6</f>
        <v/>
      </c>
      <c r="D13" s="71" t="n"/>
      <c r="E13" s="135" t="n"/>
      <c r="F13" s="143">
        <f t="array" ref="F13">IFERROR(IF(INDEX('2. Collaborateurs·trices'!$A$6:$M$40,(MATCH('3. Prestations'!D13,'2. Collaborateurs·trices'!$C$6:$C$40,0)),8)=0,'1. Configuration'!$B$12,INDEX('2. Collaborateurs·trices'!$A$6:$M$40,(MATCH('3. Prestations'!D13,'2. Collaborateurs·trices'!$C$6:$C$40,0)),8)),"")</f>
        <v/>
      </c>
      <c r="G13" s="140">
        <f t="array" ref="G13">IFERROR(IF((INDEX('2. Collaborateurs·trices'!$A$6:$M$40,(MATCH('3. Prestations'!D13,'2. Collaborateurs·trices'!$C$6:$C$40,0)),10)=0),'1. Configuration'!$C$51,INDEX('2. Collaborateurs·trices'!$A$6:$M$40,(MATCH('3. Prestations'!D13,'2. Collaborateurs·trices'!$C$6:$C$40,0)),10)),IF(E13="","",'1. Configuration'!$C$51))</f>
        <v/>
      </c>
      <c r="H13" s="57">
        <f t="array" ref="H13">IFERROR(IF(AND(F13='1. Configuration'!$B$12,G13='1. Configuration'!$C$51),IF((F13='1. Configuration'!$B$12),(VLOOKUP(E13,'1. Configuration'!$A$13:$C$21,2,)),""),""),"")</f>
        <v/>
      </c>
      <c r="I13" s="53" t="n"/>
      <c r="J13" s="54" t="n"/>
      <c r="K13" s="55" t="n"/>
      <c r="L13" s="58">
        <f t="array" ref="L13">IFERROR(IF((F13='1. Configuration'!$C$12),(VLOOKUP(E13,'1. Configuration'!$A$13:$C$21,3,)),(IF((G13='1. Configuration'!$B$51),(VLOOKUP(E13,'1. Configuration'!$A$13:$C$21,2,)),""))),"")</f>
        <v/>
      </c>
      <c r="M13" s="163" t="n"/>
      <c r="N13" s="167" t="n"/>
    </row>
    <row r="14" ht="15" customHeight="1" thickBot="1">
      <c r="A14" s="4">
        <f>IF(F14='1. Configuration'!$C$12,"",IF((G14='1. Configuration'!$C$51),(IF(D14&gt;0,(IF(COUNTIF($D$6:D13,D14)&gt;0,"",MAX($A$6:A13)+1)),"")),""))</f>
        <v/>
      </c>
      <c r="B14" s="4">
        <f t="array" ref="B14">IF((F14='1. Configuration'!$B$12),(IF(D14&gt;0,(IF(COUNTIF($D$6:D13,D14)&gt;0,"",MAX($B$6:B13)+1)),"")),"")</f>
        <v/>
      </c>
      <c r="C14" s="4">
        <f>D14&amp;C$6</f>
        <v/>
      </c>
      <c r="D14" s="72" t="n"/>
      <c r="E14" s="136" t="n"/>
      <c r="F14" s="145">
        <f t="array" ref="F14">IFERROR(IF(INDEX('2. Collaborateurs·trices'!$A$6:$M$40,(MATCH('3. Prestations'!D14,'2. Collaborateurs·trices'!$C$6:$C$40,0)),8)=0,'1. Configuration'!$B$12,INDEX('2. Collaborateurs·trices'!$A$6:$M$40,(MATCH('3. Prestations'!D14,'2. Collaborateurs·trices'!$C$6:$C$40,0)),8)),"")</f>
        <v/>
      </c>
      <c r="G14" s="141">
        <f t="array" ref="G14">IFERROR(IF((INDEX('2. Collaborateurs·trices'!$A$6:$M$40,(MATCH('3. Prestations'!D14,'2. Collaborateurs·trices'!$C$6:$C$40,0)),10)=0),'1. Configuration'!$C$51,INDEX('2. Collaborateurs·trices'!$A$6:$M$40,(MATCH('3. Prestations'!D14,'2. Collaborateurs·trices'!$C$6:$C$40,0)),10)),IF(E14="","",'1. Configuration'!$C$51))</f>
        <v/>
      </c>
      <c r="H14" s="59">
        <f t="array" ref="H14">IFERROR(IF(AND(F14='1. Configuration'!$B$12,G14='1. Configuration'!$C$51),IF((F14='1. Configuration'!$B$12),(VLOOKUP(E14,'1. Configuration'!$A$13:$C$21,2,)),""),""),"")</f>
        <v/>
      </c>
      <c r="I14" s="60" t="n"/>
      <c r="J14" s="61" t="n"/>
      <c r="K14" s="62" t="n"/>
      <c r="L14" s="63">
        <f t="array" ref="L14">IFERROR(IF((F14='1. Configuration'!$C$12),(VLOOKUP(E14,'1. Configuration'!$A$13:$C$21,3,)),(IF((G14='1. Configuration'!$B$51),(VLOOKUP(E14,'1. Configuration'!$A$13:$C$21,2,)),""))),"")</f>
        <v/>
      </c>
      <c r="M14" s="164" t="n"/>
      <c r="N14" s="168" t="n"/>
    </row>
    <row r="15" ht="15" customHeight="1" thickBot="1">
      <c r="A15" s="4">
        <f>IF(F15='1. Configuration'!$C$12,"",IF((G15='1. Configuration'!$C$51),(IF(D15&gt;0,(IF(COUNTIF($D$6:D14,D15)&gt;0,"",MAX($A$6:A14)+1)),"")),""))</f>
        <v/>
      </c>
      <c r="B15" s="4">
        <f t="array" ref="B15">IF((F15='1. Configuration'!$B$12),(IF(D15&gt;0,(IF(COUNTIF($D$6:D14,D15)&gt;0,"",MAX($B$6:B14)+1)),"")),"")</f>
        <v/>
      </c>
    </row>
    <row r="16">
      <c r="A16" s="4">
        <f>IF(F16='1. Configuration'!$C$12,"",IF((G16='1. Configuration'!$C$51),(IF(D16&gt;0,(IF(COUNTIF($D$6:D15,D16)&gt;0,"",MAX($A$6:A15)+1)),"")),""))</f>
        <v/>
      </c>
      <c r="B16" s="4">
        <f t="array" ref="B16">IF((F16='1. Configuration'!$B$12),(IF(D16&gt;0,(IF(COUNTIF($D$6:D15,D16)&gt;0,"",MAX($B$6:B15)+1)),"")),"")</f>
        <v/>
      </c>
      <c r="D16" s="117">
        <f>TEXT(DAY('1. Configuration'!B25),"00")&amp;"."&amp;TEXT(MONTH('1. Configuration'!B25),"00")&amp;"."&amp;TEXT(YEAR('1. Configuration'!B25),"00")&amp;" | "&amp;'1. Configuration'!A25</f>
        <v/>
      </c>
      <c r="E16" s="118" t="n"/>
      <c r="F16" s="118" t="n"/>
      <c r="G16" s="119" t="n"/>
      <c r="H16" s="122">
        <f>$H$5</f>
        <v/>
      </c>
      <c r="I16" s="120" t="n"/>
      <c r="J16" s="120" t="n"/>
      <c r="K16" s="120" t="n"/>
      <c r="L16" s="120">
        <f>$L$5</f>
        <v/>
      </c>
      <c r="M16" s="121" t="n"/>
      <c r="N16" s="165" t="n"/>
    </row>
    <row r="17" ht="15" customHeight="1" thickBot="1">
      <c r="A17" s="4">
        <f>IF(F17='1. Configuration'!$C$12,"",IF((G17='1. Configuration'!$C$51),(IF(D17&gt;0,(IF(COUNTIF($D$6:D16,D17)&gt;0,"",MAX($A$6:A16)+1)),"")),""))</f>
        <v/>
      </c>
      <c r="B17" s="4">
        <f t="array" ref="B17">IF((F17='1. Configuration'!$B$12),(IF(D17&gt;0,(IF(COUNTIF($D$6:D16,D17)&gt;0,"",MAX($B$6:B16)+1)),"")),"")</f>
        <v/>
      </c>
      <c r="C17" s="51">
        <f>'1. Configuration'!B25</f>
        <v/>
      </c>
      <c r="D17" s="123">
        <f>$D$6</f>
        <v/>
      </c>
      <c r="E17" s="124">
        <f>$E$6</f>
        <v/>
      </c>
      <c r="F17" s="124">
        <f>$F$6</f>
        <v/>
      </c>
      <c r="G17" s="125">
        <f>$G$6</f>
        <v/>
      </c>
      <c r="H17" s="126">
        <f>$H$6</f>
        <v/>
      </c>
      <c r="I17" s="124" t="n"/>
      <c r="J17" s="124" t="n"/>
      <c r="K17" s="124" t="n"/>
      <c r="L17" s="124">
        <f>L$6</f>
        <v/>
      </c>
      <c r="M17" s="127">
        <f>$M$6</f>
        <v/>
      </c>
      <c r="N17" s="162" t="n"/>
    </row>
    <row r="18">
      <c r="A18" s="4">
        <f>IF(F18='1. Configuration'!$C$12,"",IF((G18='1. Configuration'!$C$51),(IF(D18&gt;0,(IF(COUNTIF($D$6:D17,D18)&gt;0,"",MAX($A$6:A17)+1)),"")),""))</f>
        <v/>
      </c>
      <c r="B18" s="4">
        <f t="array" ref="B18">IF((F18='1. Configuration'!$B$12),(IF(D18&gt;0,(IF(COUNTIF($D$6:D17,D18)&gt;0,"",MAX($B$6:B17)+1)),"")),"")</f>
        <v/>
      </c>
      <c r="C18" s="4">
        <f>D18&amp;C$17</f>
        <v/>
      </c>
      <c r="D18" s="70" t="n"/>
      <c r="E18" s="134" t="n"/>
      <c r="F18" s="144">
        <f t="array" ref="F18">IFERROR(IF(INDEX('2. Collaborateurs·trices'!$A$6:$M$40,(MATCH('3. Prestations'!D18,'2. Collaborateurs·trices'!$C$6:$C$40,0)),8)=0,'1. Configuration'!$B$12,INDEX('2. Collaborateurs·trices'!$A$6:$M$40,(MATCH('3. Prestations'!D18,'2. Collaborateurs·trices'!$C$6:$C$40,0)),8)),'1. Configuration'!$B$12)</f>
        <v/>
      </c>
      <c r="G18" s="139">
        <f t="array" ref="G18">IFERROR(IF((INDEX('2. Collaborateurs·trices'!$A$6:$M$40,(MATCH('3. Prestations'!D18,'2. Collaborateurs·trices'!$C$6:$C$40,0)),10)=0),'1. Configuration'!$C$51,INDEX('2. Collaborateurs·trices'!$A$6:$M$40,(MATCH('3. Prestations'!D18,'2. Collaborateurs·trices'!$C$6:$C$40,0)),10)),IF(E18="","",'1. Configuration'!$C$51))</f>
        <v/>
      </c>
      <c r="H18" s="52">
        <f t="array" ref="H18">IFERROR(IF(AND(F18='1. Configuration'!$B$12,G18='1. Configuration'!$C$51),IF((F18='1. Configuration'!$B$12),(VLOOKUP(E18,'1. Configuration'!$A$13:$C$21,2,)),""),""),"")</f>
        <v/>
      </c>
      <c r="I18" s="53" t="n"/>
      <c r="J18" s="54" t="n"/>
      <c r="K18" s="55" t="n"/>
      <c r="L18" s="56">
        <f t="array" ref="L18">IFERROR(IF((F18='1. Configuration'!$C$12),(VLOOKUP(E18,'1. Configuration'!$A$13:$C$21,3,)),(IF((G18='1. Configuration'!$B$51),(VLOOKUP(E18,'1. Configuration'!$A$13:$C$21,2,)),""))),"")</f>
        <v/>
      </c>
      <c r="M18" s="73" t="n"/>
      <c r="N18" s="166" t="n"/>
    </row>
    <row r="19">
      <c r="A19" s="4">
        <f>IF(F19='1. Configuration'!$C$12,"",IF((G19='1. Configuration'!$C$51),(IF(D19&gt;0,(IF(COUNTIF($D$6:D18,D19)&gt;0,"",MAX($A$6:A18)+1)),"")),""))</f>
        <v/>
      </c>
      <c r="B19" s="4">
        <f t="array" ref="B19">IF((F19='1. Configuration'!$B$12),(IF(D19&gt;0,(IF(COUNTIF($D$6:D18,D19)&gt;0,"",MAX($B$6:B18)+1)),"")),"")</f>
        <v/>
      </c>
      <c r="C19" s="4">
        <f>D19&amp;C$17</f>
        <v/>
      </c>
      <c r="D19" s="71" t="n"/>
      <c r="E19" s="135" t="n"/>
      <c r="F19" s="143">
        <f t="array" ref="F19">IFERROR(IF(INDEX('2. Collaborateurs·trices'!$A$6:$M$40,(MATCH('3. Prestations'!D19,'2. Collaborateurs·trices'!$C$6:$C$40,0)),8)=0,'1. Configuration'!$B$12,INDEX('2. Collaborateurs·trices'!$A$6:$M$40,(MATCH('3. Prestations'!D19,'2. Collaborateurs·trices'!$C$6:$C$40,0)),8)),'1. Configuration'!$B$12)</f>
        <v/>
      </c>
      <c r="G19" s="140">
        <f t="array" ref="G19">IFERROR(IF((INDEX('2. Collaborateurs·trices'!$A$6:$M$40,(MATCH('3. Prestations'!D19,'2. Collaborateurs·trices'!$C$6:$C$40,0)),10)=0),'1. Configuration'!$C$51,INDEX('2. Collaborateurs·trices'!$A$6:$M$40,(MATCH('3. Prestations'!D19,'2. Collaborateurs·trices'!$C$6:$C$40,0)),10)),IF(E19="","",'1. Configuration'!$C$51))</f>
        <v/>
      </c>
      <c r="H19" s="57">
        <f t="array" ref="H19">IFERROR(IF(AND(F19='1. Configuration'!$B$12,G19='1. Configuration'!$C$51),IF((F19='1. Configuration'!$B$12),(VLOOKUP(E19,'1. Configuration'!$A$13:$C$21,2,)),""),""),"")</f>
        <v/>
      </c>
      <c r="I19" s="53" t="n"/>
      <c r="J19" s="54" t="n"/>
      <c r="K19" s="55" t="n"/>
      <c r="L19" s="58">
        <f t="array" ref="L19">IFERROR(IF((F19='1. Configuration'!$C$12),(VLOOKUP(E19,'1. Configuration'!$A$13:$C$21,3,)),(IF((G19='1. Configuration'!$B$51),(VLOOKUP(E19,'1. Configuration'!$A$13:$C$21,2,)),""))),"")</f>
        <v/>
      </c>
      <c r="M19" s="73" t="n"/>
      <c r="N19" s="167" t="n"/>
    </row>
    <row r="20">
      <c r="A20" s="4">
        <f>IF(F20='1. Configuration'!$C$12,"",IF((G20='1. Configuration'!$C$51),(IF(D20&gt;0,(IF(COUNTIF($D$6:D19,D20)&gt;0,"",MAX($A$6:A19)+1)),"")),""))</f>
        <v/>
      </c>
      <c r="B20" s="4">
        <f t="array" ref="B20">IF((F20='1. Configuration'!$B$12),(IF(D20&gt;0,(IF(COUNTIF($D$6:D19,D20)&gt;0,"",MAX($B$6:B19)+1)),"")),"")</f>
        <v/>
      </c>
      <c r="C20" s="4">
        <f>D20&amp;C$17</f>
        <v/>
      </c>
      <c r="D20" s="71" t="n"/>
      <c r="E20" s="135" t="n"/>
      <c r="F20" s="143">
        <f t="array" ref="F20">IFERROR(IF(INDEX('2. Collaborateurs·trices'!$A$6:$M$40,(MATCH('3. Prestations'!D20,'2. Collaborateurs·trices'!$C$6:$C$40,0)),8)=0,'1. Configuration'!$B$12,INDEX('2. Collaborateurs·trices'!$A$6:$M$40,(MATCH('3. Prestations'!D20,'2. Collaborateurs·trices'!$C$6:$C$40,0)),8)),'1. Configuration'!$B$12)</f>
        <v/>
      </c>
      <c r="G20" s="140">
        <f t="array" ref="G20">IFERROR(IF((INDEX('2. Collaborateurs·trices'!$A$6:$M$40,(MATCH('3. Prestations'!D20,'2. Collaborateurs·trices'!$C$6:$C$40,0)),10)=0),'1. Configuration'!$C$51,INDEX('2. Collaborateurs·trices'!$A$6:$M$40,(MATCH('3. Prestations'!D20,'2. Collaborateurs·trices'!$C$6:$C$40,0)),10)),IF(E20="","",'1. Configuration'!$C$51))</f>
        <v/>
      </c>
      <c r="H20" s="57">
        <f t="array" ref="H20">IFERROR(IF(AND(F20='1. Configuration'!$B$12,G20='1. Configuration'!$C$51),IF((F20='1. Configuration'!$B$12),(VLOOKUP(E20,'1. Configuration'!$A$13:$C$21,2,)),""),""),"")</f>
        <v/>
      </c>
      <c r="I20" s="53" t="n"/>
      <c r="J20" s="54" t="n"/>
      <c r="K20" s="55" t="n"/>
      <c r="L20" s="58">
        <f t="array" ref="L20">IFERROR(IF((F20='1. Configuration'!$C$12),(VLOOKUP(E20,'1. Configuration'!$A$13:$C$21,3,)),(IF((G20='1. Configuration'!$B$51),(VLOOKUP(E20,'1. Configuration'!$A$13:$C$21,2,)),""))),"")</f>
        <v/>
      </c>
      <c r="M20" s="73" t="n"/>
      <c r="N20" s="167" t="n"/>
    </row>
    <row r="21">
      <c r="A21" s="4">
        <f>IF(F21='1. Configuration'!$C$12,"",IF((G21='1. Configuration'!$C$51),(IF(D21&gt;0,(IF(COUNTIF($D$6:D20,D21)&gt;0,"",MAX($A$6:A20)+1)),"")),""))</f>
        <v/>
      </c>
      <c r="B21" s="4">
        <f t="array" ref="B21">IF((F21='1. Configuration'!$B$12),(IF(D21&gt;0,(IF(COUNTIF($D$6:D20,D21)&gt;0,"",MAX($B$6:B20)+1)),"")),"")</f>
        <v/>
      </c>
      <c r="C21" s="4">
        <f>D21&amp;C$17</f>
        <v/>
      </c>
      <c r="D21" s="71" t="n"/>
      <c r="E21" s="135" t="n"/>
      <c r="F21" s="143">
        <f t="array" ref="F21">IFERROR(IF(INDEX('2. Collaborateurs·trices'!$A$6:$M$40,(MATCH('3. Prestations'!D21,'2. Collaborateurs·trices'!$C$6:$C$40,0)),8)=0,'1. Configuration'!$B$12,INDEX('2. Collaborateurs·trices'!$A$6:$M$40,(MATCH('3. Prestations'!D21,'2. Collaborateurs·trices'!$C$6:$C$40,0)),8)),"")</f>
        <v/>
      </c>
      <c r="G21" s="140">
        <f t="array" ref="G21">IFERROR(IF((INDEX('2. Collaborateurs·trices'!$A$6:$M$40,(MATCH('3. Prestations'!D21,'2. Collaborateurs·trices'!$C$6:$C$40,0)),10)=0),'1. Configuration'!$C$51,INDEX('2. Collaborateurs·trices'!$A$6:$M$40,(MATCH('3. Prestations'!D21,'2. Collaborateurs·trices'!$C$6:$C$40,0)),10)),IF(E21="","",'1. Configuration'!$C$51))</f>
        <v/>
      </c>
      <c r="H21" s="57">
        <f t="array" ref="H21">IFERROR(IF(AND(F21='1. Configuration'!$B$12,G21='1. Configuration'!$C$51),IF((F21='1. Configuration'!$B$12),(VLOOKUP(E21,'1. Configuration'!$A$13:$C$21,2,)),""),""),"")</f>
        <v/>
      </c>
      <c r="I21" s="53" t="n"/>
      <c r="J21" s="54" t="n"/>
      <c r="K21" s="55" t="n"/>
      <c r="L21" s="58">
        <f t="array" ref="L21">IFERROR(IF((F21='1. Configuration'!$C$12),(VLOOKUP(E21,'1. Configuration'!$A$13:$C$21,3,)),(IF((G21='1. Configuration'!$B$51),(VLOOKUP(E21,'1. Configuration'!$A$13:$C$21,2,)),""))),"")</f>
        <v/>
      </c>
      <c r="M21" s="73" t="n"/>
      <c r="N21" s="167" t="n"/>
    </row>
    <row r="22">
      <c r="A22" s="4">
        <f>IF(F22='1. Configuration'!$C$12,"",IF((G22='1. Configuration'!$C$51),(IF(D22&gt;0,(IF(COUNTIF($D$6:D21,D22)&gt;0,"",MAX($A$6:A21)+1)),"")),""))</f>
        <v/>
      </c>
      <c r="B22" s="4">
        <f t="array" ref="B22">IF((F22='1. Configuration'!$B$12),(IF(D22&gt;0,(IF(COUNTIF($D$6:D21,D22)&gt;0,"",MAX($B$6:B21)+1)),"")),"")</f>
        <v/>
      </c>
      <c r="C22" s="4">
        <f>D22&amp;C$17</f>
        <v/>
      </c>
      <c r="D22" s="71" t="n"/>
      <c r="E22" s="135" t="n"/>
      <c r="F22" s="143">
        <f t="array" ref="F22">IFERROR(IF(INDEX('2. Collaborateurs·trices'!$A$6:$M$40,(MATCH('3. Prestations'!D22,'2. Collaborateurs·trices'!$C$6:$C$40,0)),8)=0,'1. Configuration'!$B$12,INDEX('2. Collaborateurs·trices'!$A$6:$M$40,(MATCH('3. Prestations'!D22,'2. Collaborateurs·trices'!$C$6:$C$40,0)),8)),"")</f>
        <v/>
      </c>
      <c r="G22" s="140">
        <f t="array" ref="G22">IFERROR(IF((INDEX('2. Collaborateurs·trices'!$A$6:$M$40,(MATCH('3. Prestations'!D22,'2. Collaborateurs·trices'!$C$6:$C$40,0)),10)=0),'1. Configuration'!$C$51,INDEX('2. Collaborateurs·trices'!$A$6:$M$40,(MATCH('3. Prestations'!D22,'2. Collaborateurs·trices'!$C$6:$C$40,0)),10)),IF(E22="","",'1. Configuration'!$C$51))</f>
        <v/>
      </c>
      <c r="H22" s="57">
        <f t="array" ref="H22">IFERROR(IF(AND(F22='1. Configuration'!$B$12,G22='1. Configuration'!$C$51),IF((F22='1. Configuration'!$B$12),(VLOOKUP(E22,'1. Configuration'!$A$13:$C$21,2,)),""),""),"")</f>
        <v/>
      </c>
      <c r="I22" s="53" t="n"/>
      <c r="J22" s="54" t="n"/>
      <c r="K22" s="55" t="n"/>
      <c r="L22" s="58">
        <f t="array" ref="L22">IFERROR(IF((F22='1. Configuration'!$C$12),(VLOOKUP(E22,'1. Configuration'!$A$13:$C$21,3,)),(IF((G22='1. Configuration'!$B$51),(VLOOKUP(E22,'1. Configuration'!$A$13:$C$21,2,)),""))),"")</f>
        <v/>
      </c>
      <c r="M22" s="73" t="n"/>
      <c r="N22" s="167" t="n"/>
    </row>
    <row r="23">
      <c r="A23" s="4">
        <f>IF(F23='1. Configuration'!$C$12,"",IF((G23='1. Configuration'!$C$51),(IF(D23&gt;0,(IF(COUNTIF($D$6:D22,D23)&gt;0,"",MAX($A$6:A22)+1)),"")),""))</f>
        <v/>
      </c>
      <c r="B23" s="4">
        <f t="array" ref="B23">IF((F23='1. Configuration'!$B$12),(IF(D23&gt;0,(IF(COUNTIF($D$6:D22,D23)&gt;0,"",MAX($B$6:B22)+1)),"")),"")</f>
        <v/>
      </c>
      <c r="C23" s="4">
        <f>D23&amp;C$17</f>
        <v/>
      </c>
      <c r="D23" s="71" t="n"/>
      <c r="E23" s="135" t="n"/>
      <c r="F23" s="143">
        <f t="array" ref="F23">IFERROR(IF(INDEX('2. Collaborateurs·trices'!$A$6:$M$40,(MATCH('3. Prestations'!D23,'2. Collaborateurs·trices'!$C$6:$C$40,0)),8)=0,'1. Configuration'!$B$12,INDEX('2. Collaborateurs·trices'!$A$6:$M$40,(MATCH('3. Prestations'!D23,'2. Collaborateurs·trices'!$C$6:$C$40,0)),8)),"")</f>
        <v/>
      </c>
      <c r="G23" s="140">
        <f t="array" ref="G23">IFERROR(IF((INDEX('2. Collaborateurs·trices'!$A$6:$M$40,(MATCH('3. Prestations'!D23,'2. Collaborateurs·trices'!$C$6:$C$40,0)),10)=0),'1. Configuration'!$C$51,INDEX('2. Collaborateurs·trices'!$A$6:$M$40,(MATCH('3. Prestations'!D23,'2. Collaborateurs·trices'!$C$6:$C$40,0)),10)),IF(E23="","",'1. Configuration'!$C$51))</f>
        <v/>
      </c>
      <c r="H23" s="57">
        <f t="array" ref="H23">IFERROR(IF(AND(F23='1. Configuration'!$B$12,G23='1. Configuration'!$C$51),IF((F23='1. Configuration'!$B$12),(VLOOKUP(E23,'1. Configuration'!$A$13:$C$21,2,)),""),""),"")</f>
        <v/>
      </c>
      <c r="I23" s="53" t="n"/>
      <c r="J23" s="54" t="n"/>
      <c r="K23" s="55" t="n"/>
      <c r="L23" s="58">
        <f t="array" ref="L23">IFERROR(IF((F23='1. Configuration'!$C$12),(VLOOKUP(E23,'1. Configuration'!$A$13:$C$21,3,)),(IF((G23='1. Configuration'!$B$51),(VLOOKUP(E23,'1. Configuration'!$A$13:$C$21,2,)),""))),"")</f>
        <v/>
      </c>
      <c r="M23" s="73" t="n"/>
      <c r="N23" s="167" t="n"/>
    </row>
    <row r="24">
      <c r="A24" s="4">
        <f>IF(F24='1. Configuration'!$C$12,"",IF((G24='1. Configuration'!$C$51),(IF(D24&gt;0,(IF(COUNTIF($D$6:D23,D24)&gt;0,"",MAX($A$6:A23)+1)),"")),""))</f>
        <v/>
      </c>
      <c r="B24" s="4">
        <f t="array" ref="B24">IF((F24='1. Configuration'!$B$12),(IF(D24&gt;0,(IF(COUNTIF($D$6:D23,D24)&gt;0,"",MAX($B$6:B23)+1)),"")),"")</f>
        <v/>
      </c>
      <c r="C24" s="4">
        <f>D24&amp;C$17</f>
        <v/>
      </c>
      <c r="D24" s="71" t="n"/>
      <c r="E24" s="135" t="n"/>
      <c r="F24" s="143">
        <f t="array" ref="F24">IFERROR(IF(INDEX('2. Collaborateurs·trices'!$A$6:$M$40,(MATCH('3. Prestations'!D24,'2. Collaborateurs·trices'!$C$6:$C$40,0)),8)=0,'1. Configuration'!$B$12,INDEX('2. Collaborateurs·trices'!$A$6:$M$40,(MATCH('3. Prestations'!D24,'2. Collaborateurs·trices'!$C$6:$C$40,0)),8)),"")</f>
        <v/>
      </c>
      <c r="G24" s="140">
        <f t="array" ref="G24">IFERROR(IF((INDEX('2. Collaborateurs·trices'!$A$6:$M$40,(MATCH('3. Prestations'!D24,'2. Collaborateurs·trices'!$C$6:$C$40,0)),10)=0),'1. Configuration'!$C$51,INDEX('2. Collaborateurs·trices'!$A$6:$M$40,(MATCH('3. Prestations'!D24,'2. Collaborateurs·trices'!$C$6:$C$40,0)),10)),IF(E24="","",'1. Configuration'!$C$51))</f>
        <v/>
      </c>
      <c r="H24" s="57">
        <f t="array" ref="H24">IFERROR(IF(AND(F24='1. Configuration'!$B$12,G24='1. Configuration'!$C$51),IF((F24='1. Configuration'!$B$12),(VLOOKUP(E24,'1. Configuration'!$A$13:$C$21,2,)),""),""),"")</f>
        <v/>
      </c>
      <c r="I24" s="53" t="n"/>
      <c r="J24" s="54" t="n"/>
      <c r="K24" s="55" t="n"/>
      <c r="L24" s="58">
        <f t="array" ref="L24">IFERROR(IF((F24='1. Configuration'!$C$12),(VLOOKUP(E24,'1. Configuration'!$A$13:$C$21,3,)),(IF((G24='1. Configuration'!$B$51),(VLOOKUP(E24,'1. Configuration'!$A$13:$C$21,2,)),""))),"")</f>
        <v/>
      </c>
      <c r="M24" s="73" t="n"/>
      <c r="N24" s="167" t="n"/>
    </row>
    <row r="25" ht="15" customHeight="1" thickBot="1">
      <c r="A25" s="4">
        <f>IF(F25='1. Configuration'!$C$12,"",IF((G25='1. Configuration'!$C$51),(IF(D25&gt;0,(IF(COUNTIF($D$6:D24,D25)&gt;0,"",MAX($A$6:A24)+1)),"")),""))</f>
        <v/>
      </c>
      <c r="B25" s="4">
        <f t="array" ref="B25">IF((F25='1. Configuration'!$B$12),(IF(D25&gt;0,(IF(COUNTIF($D$6:D24,D25)&gt;0,"",MAX($B$6:B24)+1)),"")),"")</f>
        <v/>
      </c>
      <c r="C25" s="4">
        <f>D25&amp;C$17</f>
        <v/>
      </c>
      <c r="D25" s="72" t="n"/>
      <c r="E25" s="136" t="n"/>
      <c r="F25" s="145">
        <f t="array" ref="F25">IFERROR(IF(INDEX('2. Collaborateurs·trices'!$A$6:$M$40,(MATCH('3. Prestations'!D25,'2. Collaborateurs·trices'!$C$6:$C$40,0)),8)=0,'1. Configuration'!$B$12,INDEX('2. Collaborateurs·trices'!$A$6:$M$40,(MATCH('3. Prestations'!D25,'2. Collaborateurs·trices'!$C$6:$C$40,0)),8)),"")</f>
        <v/>
      </c>
      <c r="G25" s="141">
        <f t="array" ref="G25">IFERROR(IF((INDEX('2. Collaborateurs·trices'!$A$6:$M$40,(MATCH('3. Prestations'!D25,'2. Collaborateurs·trices'!$C$6:$C$40,0)),10)=0),'1. Configuration'!$C$51,INDEX('2. Collaborateurs·trices'!$A$6:$M$40,(MATCH('3. Prestations'!D25,'2. Collaborateurs·trices'!$C$6:$C$40,0)),10)),IF(E25="","",'1. Configuration'!$C$51))</f>
        <v/>
      </c>
      <c r="H25" s="59">
        <f t="array" ref="H25">IFERROR(IF(AND(F25='1. Configuration'!$B$12,G25='1. Configuration'!$C$51),IF((F25='1. Configuration'!$B$12),(VLOOKUP(E25,'1. Configuration'!$A$13:$C$21,2,)),""),""),"")</f>
        <v/>
      </c>
      <c r="I25" s="60" t="n"/>
      <c r="J25" s="61" t="n"/>
      <c r="K25" s="62" t="n"/>
      <c r="L25" s="63">
        <f t="array" ref="L25">IFERROR(IF((F25='1. Configuration'!$C$12),(VLOOKUP(E25,'1. Configuration'!$A$13:$C$21,3,)),(IF((G25='1. Configuration'!$B$51),(VLOOKUP(E25,'1. Configuration'!$A$13:$C$21,2,)),""))),"")</f>
        <v/>
      </c>
      <c r="M25" s="74" t="n"/>
      <c r="N25" s="168" t="n"/>
    </row>
    <row r="26" ht="15" customHeight="1" thickBot="1">
      <c r="A26" s="4">
        <f>IF(F26='1. Configuration'!$C$12,"",IF((G26='1. Configuration'!$C$51),(IF(D26&gt;0,(IF(COUNTIF($D$6:D25,D26)&gt;0,"",MAX($A$6:A25)+1)),"")),""))</f>
        <v/>
      </c>
      <c r="B26" s="4">
        <f t="array" ref="B26">IF((F26='1. Configuration'!$B$12),(IF(D26&gt;0,(IF(COUNTIF($D$6:D25,D26)&gt;0,"",MAX($B$6:B25)+1)),"")),"")</f>
        <v/>
      </c>
    </row>
    <row r="27">
      <c r="A27" s="4">
        <f>IF(F27='1. Configuration'!$C$12,"",IF((G27='1. Configuration'!$C$51),(IF(D27&gt;0,(IF(COUNTIF($D$6:D26,D27)&gt;0,"",MAX($A$6:A26)+1)),"")),""))</f>
        <v/>
      </c>
      <c r="B27" s="4">
        <f t="array" ref="B27">IF((F27='1. Configuration'!$B$12),(IF(D27&gt;0,(IF(COUNTIF($D$6:D26,D27)&gt;0,"",MAX($B$6:B26)+1)),"")),"")</f>
        <v/>
      </c>
      <c r="D27" s="117">
        <f>TEXT(DAY('1. Configuration'!B26),"00")&amp;"."&amp;TEXT(MONTH('1. Configuration'!B26),"00")&amp;"."&amp;TEXT(YEAR('1. Configuration'!B26),"00")&amp;" | "&amp;'1. Configuration'!A26</f>
        <v/>
      </c>
      <c r="E27" s="118" t="n"/>
      <c r="F27" s="118" t="n"/>
      <c r="G27" s="119" t="n"/>
      <c r="H27" s="122">
        <f>$H$5</f>
        <v/>
      </c>
      <c r="I27" s="120" t="n"/>
      <c r="J27" s="120" t="n"/>
      <c r="K27" s="120" t="n"/>
      <c r="L27" s="120">
        <f>$L$5</f>
        <v/>
      </c>
      <c r="M27" s="121" t="n"/>
      <c r="N27" s="165" t="n"/>
    </row>
    <row r="28" ht="15" customHeight="1" thickBot="1">
      <c r="A28" s="4">
        <f>IF(F28='1. Configuration'!$C$12,"",IF((G28='1. Configuration'!$C$51),(IF(D28&gt;0,(IF(COUNTIF($D$6:D27,D28)&gt;0,"",MAX($A$6:A27)+1)),"")),""))</f>
        <v/>
      </c>
      <c r="B28" s="4">
        <f t="array" ref="B28">IF((F28='1. Configuration'!$B$12),(IF(D28&gt;0,(IF(COUNTIF($D$6:D27,D28)&gt;0,"",MAX($B$6:B27)+1)),"")),"")</f>
        <v/>
      </c>
      <c r="C28" s="51">
        <f>'1. Configuration'!B26</f>
        <v/>
      </c>
      <c r="D28" s="123">
        <f>$D$6</f>
        <v/>
      </c>
      <c r="E28" s="124">
        <f>$E$6</f>
        <v/>
      </c>
      <c r="F28" s="124">
        <f>$F$6</f>
        <v/>
      </c>
      <c r="G28" s="125">
        <f>$G$6</f>
        <v/>
      </c>
      <c r="H28" s="126">
        <f>$H$6</f>
        <v/>
      </c>
      <c r="I28" s="124" t="n"/>
      <c r="J28" s="124" t="n"/>
      <c r="K28" s="124" t="n"/>
      <c r="L28" s="124" t="inlineStr">
        <is>
          <t>Cachet</t>
        </is>
      </c>
      <c r="M28" s="127">
        <f>$M$6</f>
        <v/>
      </c>
      <c r="N28" s="162" t="n"/>
    </row>
    <row r="29">
      <c r="A29" s="4">
        <f>IF(F29='1. Configuration'!$C$12,"",IF((G29='1. Configuration'!$C$51),(IF(D29&gt;0,(IF(COUNTIF($D$6:D28,D29)&gt;0,"",MAX($A$6:A28)+1)),"")),""))</f>
        <v/>
      </c>
      <c r="B29" s="4">
        <f t="array" ref="B29">IF((F29='1. Configuration'!$B$12),(IF(D29&gt;0,(IF(COUNTIF($D$6:D28,D29)&gt;0,"",MAX($B$6:B28)+1)),"")),"")</f>
        <v/>
      </c>
      <c r="C29" s="4">
        <f>D29&amp;C$28</f>
        <v/>
      </c>
      <c r="D29" s="70" t="n"/>
      <c r="E29" s="134" t="n"/>
      <c r="F29" s="144">
        <f t="array" ref="F29">IFERROR(IF(INDEX('2. Collaborateurs·trices'!$A$6:$M$40,(MATCH('3. Prestations'!D29,'2. Collaborateurs·trices'!$C$6:$C$40,0)),8)=0,'1. Configuration'!$B$12,INDEX('2. Collaborateurs·trices'!$A$6:$M$40,(MATCH('3. Prestations'!D29,'2. Collaborateurs·trices'!$C$6:$C$40,0)),8)),'1. Configuration'!$B$12)</f>
        <v/>
      </c>
      <c r="G29" s="139">
        <f t="array" ref="G29">IFERROR(IF((INDEX('2. Collaborateurs·trices'!$A$6:$M$40,(MATCH('3. Prestations'!D29,'2. Collaborateurs·trices'!$C$6:$C$40,0)),10)=0),'1. Configuration'!$C$51,INDEX('2. Collaborateurs·trices'!$A$6:$M$40,(MATCH('3. Prestations'!D29,'2. Collaborateurs·trices'!$C$6:$C$40,0)),10)),IF(E29="","",'1. Configuration'!$C$51))</f>
        <v/>
      </c>
      <c r="H29" s="52">
        <f t="array" ref="H29">IFERROR(IF(AND(F29='1. Configuration'!$B$12,G29='1. Configuration'!$C$51),IF((F29='1. Configuration'!$B$12),(VLOOKUP(E29,'1. Configuration'!$A$13:$C$21,2,)),""),""),"")</f>
        <v/>
      </c>
      <c r="I29" s="53" t="n"/>
      <c r="J29" s="54" t="n"/>
      <c r="K29" s="55" t="n"/>
      <c r="L29" s="56">
        <f t="array" ref="L29">IFERROR(IF((F29='1. Configuration'!$C$12),(VLOOKUP(E29,'1. Configuration'!$A$13:$C$21,3,)),(IF((G29='1. Configuration'!$B$51),(VLOOKUP(E29,'1. Configuration'!$A$13:$C$21,2,)),""))),"")</f>
        <v/>
      </c>
      <c r="M29" s="73" t="n"/>
      <c r="N29" s="166" t="n"/>
    </row>
    <row r="30">
      <c r="A30" s="4">
        <f>IF(F30='1. Configuration'!$C$12,"",IF((G30='1. Configuration'!$C$51),(IF(D30&gt;0,(IF(COUNTIF($D$6:D29,D30)&gt;0,"",MAX($A$6:A29)+1)),"")),""))</f>
        <v/>
      </c>
      <c r="B30" s="4">
        <f t="array" ref="B30">IF((F30='1. Configuration'!$B$12),(IF(D30&gt;0,(IF(COUNTIF($D$6:D29,D30)&gt;0,"",MAX($B$6:B29)+1)),"")),"")</f>
        <v/>
      </c>
      <c r="C30" s="4">
        <f>D30&amp;C$28</f>
        <v/>
      </c>
      <c r="D30" s="71" t="n"/>
      <c r="E30" s="135" t="n"/>
      <c r="F30" s="143">
        <f t="array" ref="F30">IFERROR(IF(INDEX('2. Collaborateurs·trices'!$A$6:$M$40,(MATCH('3. Prestations'!D30,'2. Collaborateurs·trices'!$C$6:$C$40,0)),8)=0,'1. Configuration'!$B$12,INDEX('2. Collaborateurs·trices'!$A$6:$M$40,(MATCH('3. Prestations'!D30,'2. Collaborateurs·trices'!$C$6:$C$40,0)),8)),'1. Configuration'!$B$12)</f>
        <v/>
      </c>
      <c r="G30" s="140">
        <f t="array" ref="G30">IFERROR(IF((INDEX('2. Collaborateurs·trices'!$A$6:$M$40,(MATCH('3. Prestations'!D30,'2. Collaborateurs·trices'!$C$6:$C$40,0)),10)=0),'1. Configuration'!$C$51,INDEX('2. Collaborateurs·trices'!$A$6:$M$40,(MATCH('3. Prestations'!D30,'2. Collaborateurs·trices'!$C$6:$C$40,0)),10)),IF(E30="","",'1. Configuration'!$C$51))</f>
        <v/>
      </c>
      <c r="H30" s="57">
        <f t="array" ref="H30">IFERROR(IF(AND(F30='1. Configuration'!$B$12,G30='1. Configuration'!$C$51),IF((F30='1. Configuration'!$B$12),(VLOOKUP(E30,'1. Configuration'!$A$13:$C$21,2,)),""),""),"")</f>
        <v/>
      </c>
      <c r="I30" s="53" t="n"/>
      <c r="J30" s="54" t="n"/>
      <c r="K30" s="55" t="n"/>
      <c r="L30" s="58">
        <f t="array" ref="L30">IFERROR(IF((F30='1. Configuration'!$C$12),(VLOOKUP(E30,'1. Configuration'!$A$13:$C$21,3,)),(IF((G30='1. Configuration'!$B$51),(VLOOKUP(E30,'1. Configuration'!$A$13:$C$21,2,)),""))),"")</f>
        <v/>
      </c>
      <c r="M30" s="73" t="n"/>
      <c r="N30" s="167" t="n"/>
    </row>
    <row r="31">
      <c r="A31" s="4">
        <f>IF(F31='1. Configuration'!$C$12,"",IF((G31='1. Configuration'!$C$51),(IF(D31&gt;0,(IF(COUNTIF($D$6:D30,D31)&gt;0,"",MAX($A$6:A30)+1)),"")),""))</f>
        <v/>
      </c>
      <c r="B31" s="4">
        <f t="array" ref="B31">IF((F31='1. Configuration'!$B$12),(IF(D31&gt;0,(IF(COUNTIF($D$6:D30,D31)&gt;0,"",MAX($B$6:B30)+1)),"")),"")</f>
        <v/>
      </c>
      <c r="C31" s="4">
        <f>D31&amp;C$28</f>
        <v/>
      </c>
      <c r="D31" s="71" t="n"/>
      <c r="E31" s="135" t="n"/>
      <c r="F31" s="143">
        <f t="array" ref="F31">IFERROR(IF(INDEX('2. Collaborateurs·trices'!$A$6:$M$40,(MATCH('3. Prestations'!D31,'2. Collaborateurs·trices'!$C$6:$C$40,0)),8)=0,'1. Configuration'!$B$12,INDEX('2. Collaborateurs·trices'!$A$6:$M$40,(MATCH('3. Prestations'!D31,'2. Collaborateurs·trices'!$C$6:$C$40,0)),8)),'1. Configuration'!$B$12)</f>
        <v/>
      </c>
      <c r="G31" s="140">
        <f t="array" ref="G31">IFERROR(IF((INDEX('2. Collaborateurs·trices'!$A$6:$M$40,(MATCH('3. Prestations'!D31,'2. Collaborateurs·trices'!$C$6:$C$40,0)),10)=0),'1. Configuration'!$C$51,INDEX('2. Collaborateurs·trices'!$A$6:$M$40,(MATCH('3. Prestations'!D31,'2. Collaborateurs·trices'!$C$6:$C$40,0)),10)),IF(E31="","",'1. Configuration'!$C$51))</f>
        <v/>
      </c>
      <c r="H31" s="57">
        <f t="array" ref="H31">IFERROR(IF(AND(F31='1. Configuration'!$B$12,G31='1. Configuration'!$C$51),IF((F31='1. Configuration'!$B$12),(VLOOKUP(E31,'1. Configuration'!$A$13:$C$21,2,)),""),""),"")</f>
        <v/>
      </c>
      <c r="I31" s="53" t="n"/>
      <c r="J31" s="54" t="n"/>
      <c r="K31" s="55" t="n"/>
      <c r="L31" s="58">
        <f t="array" ref="L31">IFERROR(IF((F31='1. Configuration'!$C$12),(VLOOKUP(E31,'1. Configuration'!$A$13:$C$21,3,)),(IF((G31='1. Configuration'!$B$51),(VLOOKUP(E31,'1. Configuration'!$A$13:$C$21,2,)),""))),"")</f>
        <v/>
      </c>
      <c r="M31" s="73" t="n"/>
      <c r="N31" s="167" t="n"/>
    </row>
    <row r="32">
      <c r="A32" s="4">
        <f>IF(F32='1. Configuration'!$C$12,"",IF((G32='1. Configuration'!$C$51),(IF(D32&gt;0,(IF(COUNTIF($D$6:D31,D32)&gt;0,"",MAX($A$6:A31)+1)),"")),""))</f>
        <v/>
      </c>
      <c r="B32" s="4">
        <f t="array" ref="B32">IF((F32='1. Configuration'!$B$12),(IF(D32&gt;0,(IF(COUNTIF($D$6:D31,D32)&gt;0,"",MAX($B$6:B31)+1)),"")),"")</f>
        <v/>
      </c>
      <c r="C32" s="4">
        <f>D32&amp;C$28</f>
        <v/>
      </c>
      <c r="D32" s="71" t="n"/>
      <c r="E32" s="135" t="n"/>
      <c r="F32" s="143">
        <f t="array" ref="F32">IFERROR(IF(INDEX('2. Collaborateurs·trices'!$A$6:$M$40,(MATCH('3. Prestations'!D32,'2. Collaborateurs·trices'!$C$6:$C$40,0)),8)=0,'1. Configuration'!$B$12,INDEX('2. Collaborateurs·trices'!$A$6:$M$40,(MATCH('3. Prestations'!D32,'2. Collaborateurs·trices'!$C$6:$C$40,0)),8)),"")</f>
        <v/>
      </c>
      <c r="G32" s="140">
        <f t="array" ref="G32">IFERROR(IF((INDEX('2. Collaborateurs·trices'!$A$6:$M$40,(MATCH('3. Prestations'!D32,'2. Collaborateurs·trices'!$C$6:$C$40,0)),10)=0),'1. Configuration'!$C$51,INDEX('2. Collaborateurs·trices'!$A$6:$M$40,(MATCH('3. Prestations'!D32,'2. Collaborateurs·trices'!$C$6:$C$40,0)),10)),IF(E32="","",'1. Configuration'!$C$51))</f>
        <v/>
      </c>
      <c r="H32" s="57">
        <f t="array" ref="H32">IFERROR(IF(AND(F32='1. Configuration'!$B$12,G32='1. Configuration'!$C$51),IF((F32='1. Configuration'!$B$12),(VLOOKUP(E32,'1. Configuration'!$A$13:$C$21,2,)),""),""),"")</f>
        <v/>
      </c>
      <c r="I32" s="53" t="n"/>
      <c r="J32" s="54" t="n"/>
      <c r="K32" s="55" t="n"/>
      <c r="L32" s="58">
        <f t="array" ref="L32">IFERROR(IF((F32='1. Configuration'!$C$12),(VLOOKUP(E32,'1. Configuration'!$A$13:$C$21,3,)),(IF((G32='1. Configuration'!$B$51),(VLOOKUP(E32,'1. Configuration'!$A$13:$C$21,2,)),""))),"")</f>
        <v/>
      </c>
      <c r="M32" s="73" t="n"/>
      <c r="N32" s="167" t="n"/>
    </row>
    <row r="33">
      <c r="A33" s="4">
        <f>IF(F33='1. Configuration'!$C$12,"",IF((G33='1. Configuration'!$C$51),(IF(D33&gt;0,(IF(COUNTIF($D$6:D32,D33)&gt;0,"",MAX($A$6:A32)+1)),"")),""))</f>
        <v/>
      </c>
      <c r="B33" s="4">
        <f t="array" ref="B33">IF((F33='1. Configuration'!$B$12),(IF(D33&gt;0,(IF(COUNTIF($D$6:D32,D33)&gt;0,"",MAX($B$6:B32)+1)),"")),"")</f>
        <v/>
      </c>
      <c r="C33" s="4">
        <f>D33&amp;C$28</f>
        <v/>
      </c>
      <c r="D33" s="71" t="n"/>
      <c r="E33" s="135" t="n"/>
      <c r="F33" s="143">
        <f t="array" ref="F33">IFERROR(IF(INDEX('2. Collaborateurs·trices'!$A$6:$M$40,(MATCH('3. Prestations'!D33,'2. Collaborateurs·trices'!$C$6:$C$40,0)),8)=0,'1. Configuration'!$B$12,INDEX('2. Collaborateurs·trices'!$A$6:$M$40,(MATCH('3. Prestations'!D33,'2. Collaborateurs·trices'!$C$6:$C$40,0)),8)),"")</f>
        <v/>
      </c>
      <c r="G33" s="140">
        <f t="array" ref="G33">IFERROR(IF((INDEX('2. Collaborateurs·trices'!$A$6:$M$40,(MATCH('3. Prestations'!D33,'2. Collaborateurs·trices'!$C$6:$C$40,0)),10)=0),'1. Configuration'!$C$51,INDEX('2. Collaborateurs·trices'!$A$6:$M$40,(MATCH('3. Prestations'!D33,'2. Collaborateurs·trices'!$C$6:$C$40,0)),10)),IF(E33="","",'1. Configuration'!$C$51))</f>
        <v/>
      </c>
      <c r="H33" s="57">
        <f t="array" ref="H33">IFERROR(IF(AND(F33='1. Configuration'!$B$12,G33='1. Configuration'!$C$51),IF((F33='1. Configuration'!$B$12),(VLOOKUP(E33,'1. Configuration'!$A$13:$C$21,2,)),""),""),"")</f>
        <v/>
      </c>
      <c r="I33" s="53" t="n"/>
      <c r="J33" s="54" t="n"/>
      <c r="K33" s="55" t="n"/>
      <c r="L33" s="58">
        <f t="array" ref="L33">IFERROR(IF((F33='1. Configuration'!$C$12),(VLOOKUP(E33,'1. Configuration'!$A$13:$C$21,3,)),(IF((G33='1. Configuration'!$B$51),(VLOOKUP(E33,'1. Configuration'!$A$13:$C$21,2,)),""))),"")</f>
        <v/>
      </c>
      <c r="M33" s="73" t="n"/>
      <c r="N33" s="167" t="n"/>
    </row>
    <row r="34">
      <c r="A34" s="4">
        <f>IF(F34='1. Configuration'!$C$12,"",IF((G34='1. Configuration'!$C$51),(IF(D34&gt;0,(IF(COUNTIF($D$6:D33,D34)&gt;0,"",MAX($A$6:A33)+1)),"")),""))</f>
        <v/>
      </c>
      <c r="B34" s="4">
        <f t="array" ref="B34">IF((F34='1. Configuration'!$B$12),(IF(D34&gt;0,(IF(COUNTIF($D$6:D33,D34)&gt;0,"",MAX($B$6:B33)+1)),"")),"")</f>
        <v/>
      </c>
      <c r="C34" s="4">
        <f>D34&amp;C$28</f>
        <v/>
      </c>
      <c r="D34" s="71" t="n"/>
      <c r="E34" s="135" t="n"/>
      <c r="F34" s="143">
        <f t="array" ref="F34">IFERROR(IF(INDEX('2. Collaborateurs·trices'!$A$6:$M$40,(MATCH('3. Prestations'!D34,'2. Collaborateurs·trices'!$C$6:$C$40,0)),8)=0,'1. Configuration'!$B$12,INDEX('2. Collaborateurs·trices'!$A$6:$M$40,(MATCH('3. Prestations'!D34,'2. Collaborateurs·trices'!$C$6:$C$40,0)),8)),"")</f>
        <v/>
      </c>
      <c r="G34" s="140">
        <f t="array" ref="G34">IFERROR(IF((INDEX('2. Collaborateurs·trices'!$A$6:$M$40,(MATCH('3. Prestations'!D34,'2. Collaborateurs·trices'!$C$6:$C$40,0)),10)=0),'1. Configuration'!$C$51,INDEX('2. Collaborateurs·trices'!$A$6:$M$40,(MATCH('3. Prestations'!D34,'2. Collaborateurs·trices'!$C$6:$C$40,0)),10)),IF(E34="","",'1. Configuration'!$C$51))</f>
        <v/>
      </c>
      <c r="H34" s="57">
        <f t="array" ref="H34">IFERROR(IF(AND(F34='1. Configuration'!$B$12,G34='1. Configuration'!$C$51),IF((F34='1. Configuration'!$B$12),(VLOOKUP(E34,'1. Configuration'!$A$13:$C$21,2,)),""),""),"")</f>
        <v/>
      </c>
      <c r="I34" s="53" t="n"/>
      <c r="J34" s="54" t="n"/>
      <c r="K34" s="55" t="n"/>
      <c r="L34" s="58">
        <f t="array" ref="L34">IFERROR(IF((F34='1. Configuration'!$C$12),(VLOOKUP(E34,'1. Configuration'!$A$13:$C$21,3,)),(IF((G34='1. Configuration'!$B$51),(VLOOKUP(E34,'1. Configuration'!$A$13:$C$21,2,)),""))),"")</f>
        <v/>
      </c>
      <c r="M34" s="73" t="n"/>
      <c r="N34" s="167" t="n"/>
    </row>
    <row r="35">
      <c r="A35" s="4">
        <f>IF(F35='1. Configuration'!$C$12,"",IF((G35='1. Configuration'!$C$51),(IF(D35&gt;0,(IF(COUNTIF($D$6:D34,D35)&gt;0,"",MAX($A$6:A34)+1)),"")),""))</f>
        <v/>
      </c>
      <c r="B35" s="4">
        <f t="array" ref="B35">IF((F35='1. Configuration'!$B$12),(IF(D35&gt;0,(IF(COUNTIF($D$6:D34,D35)&gt;0,"",MAX($B$6:B34)+1)),"")),"")</f>
        <v/>
      </c>
      <c r="C35" s="4">
        <f>D35&amp;C$28</f>
        <v/>
      </c>
      <c r="D35" s="71" t="n"/>
      <c r="E35" s="135" t="n"/>
      <c r="F35" s="143">
        <f t="array" ref="F35">IFERROR(IF(INDEX('2. Collaborateurs·trices'!$A$6:$M$40,(MATCH('3. Prestations'!D35,'2. Collaborateurs·trices'!$C$6:$C$40,0)),8)=0,'1. Configuration'!$B$12,INDEX('2. Collaborateurs·trices'!$A$6:$M$40,(MATCH('3. Prestations'!D35,'2. Collaborateurs·trices'!$C$6:$C$40,0)),8)),"")</f>
        <v/>
      </c>
      <c r="G35" s="140">
        <f t="array" ref="G35">IFERROR(IF((INDEX('2. Collaborateurs·trices'!$A$6:$M$40,(MATCH('3. Prestations'!D35,'2. Collaborateurs·trices'!$C$6:$C$40,0)),10)=0),'1. Configuration'!$C$51,INDEX('2. Collaborateurs·trices'!$A$6:$M$40,(MATCH('3. Prestations'!D35,'2. Collaborateurs·trices'!$C$6:$C$40,0)),10)),IF(E35="","",'1. Configuration'!$C$51))</f>
        <v/>
      </c>
      <c r="H35" s="57">
        <f t="array" ref="H35">IFERROR(IF(AND(F35='1. Configuration'!$B$12,G35='1. Configuration'!$C$51),IF((F35='1. Configuration'!$B$12),(VLOOKUP(E35,'1. Configuration'!$A$13:$C$21,2,)),""),""),"")</f>
        <v/>
      </c>
      <c r="I35" s="53" t="n"/>
      <c r="J35" s="54" t="n"/>
      <c r="K35" s="55" t="n"/>
      <c r="L35" s="58">
        <f t="array" ref="L35">IFERROR(IF((F35='1. Configuration'!$C$12),(VLOOKUP(E35,'1. Configuration'!$A$13:$C$21,3,)),(IF((G35='1. Configuration'!$B$51),(VLOOKUP(E35,'1. Configuration'!$A$13:$C$21,2,)),""))),"")</f>
        <v/>
      </c>
      <c r="M35" s="73" t="n"/>
      <c r="N35" s="167" t="n"/>
    </row>
    <row r="36" ht="15" customHeight="1" thickBot="1">
      <c r="A36" s="4">
        <f>IF(F36='1. Configuration'!$C$12,"",IF((G36='1. Configuration'!$C$51),(IF(D36&gt;0,(IF(COUNTIF($D$6:D35,D36)&gt;0,"",MAX($A$6:A35)+1)),"")),""))</f>
        <v/>
      </c>
      <c r="B36" s="4">
        <f t="array" ref="B36">IF((F36='1. Configuration'!$B$12),(IF(D36&gt;0,(IF(COUNTIF($D$6:D35,D36)&gt;0,"",MAX($B$6:B35)+1)),"")),"")</f>
        <v/>
      </c>
      <c r="C36" s="4">
        <f>D36&amp;C$28</f>
        <v/>
      </c>
      <c r="D36" s="72" t="n"/>
      <c r="E36" s="136" t="n"/>
      <c r="F36" s="145">
        <f t="array" ref="F36">IFERROR(IF(INDEX('2. Collaborateurs·trices'!$A$6:$M$40,(MATCH('3. Prestations'!D36,'2. Collaborateurs·trices'!$C$6:$C$40,0)),8)=0,'1. Configuration'!$B$12,INDEX('2. Collaborateurs·trices'!$A$6:$M$40,(MATCH('3. Prestations'!D36,'2. Collaborateurs·trices'!$C$6:$C$40,0)),8)),"")</f>
        <v/>
      </c>
      <c r="G36" s="141">
        <f t="array" ref="G36">IFERROR(IF((INDEX('2. Collaborateurs·trices'!$A$6:$M$40,(MATCH('3. Prestations'!D36,'2. Collaborateurs·trices'!$C$6:$C$40,0)),10)=0),'1. Configuration'!$C$51,INDEX('2. Collaborateurs·trices'!$A$6:$M$40,(MATCH('3. Prestations'!D36,'2. Collaborateurs·trices'!$C$6:$C$40,0)),10)),IF(E36="","",'1. Configuration'!$C$51))</f>
        <v/>
      </c>
      <c r="H36" s="59">
        <f t="array" ref="H36">IFERROR(IF(AND(F36='1. Configuration'!$B$12,G36='1. Configuration'!$C$51),IF((F36='1. Configuration'!$B$12),(VLOOKUP(E36,'1. Configuration'!$A$13:$C$21,2,)),""),""),"")</f>
        <v/>
      </c>
      <c r="I36" s="60" t="n"/>
      <c r="J36" s="61" t="n"/>
      <c r="K36" s="62" t="n"/>
      <c r="L36" s="63">
        <f t="array" ref="L36">IFERROR(IF((F36='1. Configuration'!$C$12),(VLOOKUP(E36,'1. Configuration'!$A$13:$C$21,3,)),(IF((G36='1. Configuration'!$B$51),(VLOOKUP(E36,'1. Configuration'!$A$13:$C$21,2,)),""))),"")</f>
        <v/>
      </c>
      <c r="M36" s="74" t="n"/>
      <c r="N36" s="168" t="n"/>
    </row>
    <row r="37" ht="15" customHeight="1" thickBot="1">
      <c r="A37" s="4">
        <f>IF(F37='1. Configuration'!$C$12,"",IF((G37='1. Configuration'!$C$51),(IF(D37&gt;0,(IF(COUNTIF($D$6:D36,D37)&gt;0,"",MAX($A$6:A36)+1)),"")),""))</f>
        <v/>
      </c>
      <c r="B37" s="4">
        <f t="array" ref="B37">IF((F37='1. Configuration'!$B$12),(IF(D37&gt;0,(IF(COUNTIF($D$6:D36,D37)&gt;0,"",MAX($B$6:B36)+1)),"")),"")</f>
        <v/>
      </c>
    </row>
    <row r="38">
      <c r="A38" s="4">
        <f>IF(F38='1. Configuration'!$C$12,"",IF((G38='1. Configuration'!$C$51),(IF(D38&gt;0,(IF(COUNTIF($D$6:D37,D38)&gt;0,"",MAX($A$6:A37)+1)),"")),""))</f>
        <v/>
      </c>
      <c r="B38" s="4">
        <f t="array" ref="B38">IF((F38='1. Configuration'!$B$12),(IF(D38&gt;0,(IF(COUNTIF($D$6:D37,D38)&gt;0,"",MAX($B$6:B37)+1)),"")),"")</f>
        <v/>
      </c>
      <c r="D38" s="117">
        <f>TEXT(DAY('1. Configuration'!B27),"00")&amp;"."&amp;TEXT(MONTH('1. Configuration'!B27),"00")&amp;"."&amp;TEXT(YEAR('1. Configuration'!B27),"00")&amp;" | "&amp;'1. Configuration'!A27</f>
        <v/>
      </c>
      <c r="E38" s="118" t="n"/>
      <c r="F38" s="118" t="n"/>
      <c r="G38" s="119" t="n"/>
      <c r="H38" s="122">
        <f>$H$5</f>
        <v/>
      </c>
      <c r="I38" s="120" t="n"/>
      <c r="J38" s="120" t="n"/>
      <c r="K38" s="120" t="n"/>
      <c r="L38" s="120">
        <f>$L$5</f>
        <v/>
      </c>
      <c r="M38" s="121" t="n"/>
      <c r="N38" s="165" t="n"/>
    </row>
    <row r="39" ht="15" customHeight="1" thickBot="1">
      <c r="A39" s="4">
        <f>IF(F39='1. Configuration'!$C$12,"",IF((G39='1. Configuration'!$C$51),(IF(D39&gt;0,(IF(COUNTIF($D$6:D38,D39)&gt;0,"",MAX($A$6:A38)+1)),"")),""))</f>
        <v/>
      </c>
      <c r="B39" s="4">
        <f t="array" ref="B39">IF((F39='1. Configuration'!$B$12),(IF(D39&gt;0,(IF(COUNTIF($D$6:D38,D39)&gt;0,"",MAX($B$6:B38)+1)),"")),"")</f>
        <v/>
      </c>
      <c r="C39" s="51">
        <f>'1. Configuration'!B27</f>
        <v/>
      </c>
      <c r="D39" s="123">
        <f>$D$6</f>
        <v/>
      </c>
      <c r="E39" s="124">
        <f>$E$6</f>
        <v/>
      </c>
      <c r="F39" s="124">
        <f>$F$6</f>
        <v/>
      </c>
      <c r="G39" s="125">
        <f>$G$6</f>
        <v/>
      </c>
      <c r="H39" s="126">
        <f>$H$6</f>
        <v/>
      </c>
      <c r="I39" s="124" t="n"/>
      <c r="J39" s="124" t="n"/>
      <c r="K39" s="124" t="n"/>
      <c r="L39" s="124" t="inlineStr">
        <is>
          <t>Cachet</t>
        </is>
      </c>
      <c r="M39" s="127">
        <f>$M$6</f>
        <v/>
      </c>
      <c r="N39" s="162" t="n"/>
    </row>
    <row r="40">
      <c r="A40" s="4">
        <f>IF(F40='1. Configuration'!$C$12,"",IF((G40='1. Configuration'!$C$51),(IF(D40&gt;0,(IF(COUNTIF($D$6:D39,D40)&gt;0,"",MAX($A$6:A39)+1)),"")),""))</f>
        <v/>
      </c>
      <c r="B40" s="4">
        <f t="array" ref="B40">IF((F40='1. Configuration'!$B$12),(IF(D40&gt;0,(IF(COUNTIF($D$6:D39,D40)&gt;0,"",MAX($B$6:B39)+1)),"")),"")</f>
        <v/>
      </c>
      <c r="C40" s="4">
        <f>D40&amp;C$39</f>
        <v/>
      </c>
      <c r="D40" s="70" t="n"/>
      <c r="E40" s="134" t="n"/>
      <c r="F40" s="144">
        <f t="array" ref="F40">IFERROR(IF(INDEX('2. Collaborateurs·trices'!$A$6:$M$40,(MATCH('3. Prestations'!D40,'2. Collaborateurs·trices'!$C$6:$C$40,0)),8)=0,'1. Configuration'!$B$12,INDEX('2. Collaborateurs·trices'!$A$6:$M$40,(MATCH('3. Prestations'!D40,'2. Collaborateurs·trices'!$C$6:$C$40,0)),8)),'1. Configuration'!$B$12)</f>
        <v/>
      </c>
      <c r="G40" s="139">
        <f t="array" ref="G40">IFERROR(IF((INDEX('2. Collaborateurs·trices'!$A$6:$M$40,(MATCH('3. Prestations'!D40,'2. Collaborateurs·trices'!$C$6:$C$40,0)),10)=0),'1. Configuration'!$C$51,INDEX('2. Collaborateurs·trices'!$A$6:$M$40,(MATCH('3. Prestations'!D40,'2. Collaborateurs·trices'!$C$6:$C$40,0)),10)),IF(E40="","",'1. Configuration'!$C$51))</f>
        <v/>
      </c>
      <c r="H40" s="52">
        <f t="array" ref="H40">IFERROR(IF(AND(F40='1. Configuration'!$B$12,G40='1. Configuration'!$C$51),IF((F40='1. Configuration'!$B$12),(VLOOKUP(E40,'1. Configuration'!$A$13:$C$21,2,)),""),""),"")</f>
        <v/>
      </c>
      <c r="I40" s="53" t="n"/>
      <c r="J40" s="54" t="n"/>
      <c r="K40" s="55" t="n"/>
      <c r="L40" s="56">
        <f t="array" ref="L40">IFERROR(IF((F40='1. Configuration'!$C$12),(VLOOKUP(E40,'1. Configuration'!$A$13:$C$21,3,)),(IF((G40='1. Configuration'!$B$51),(VLOOKUP(E40,'1. Configuration'!$A$13:$C$21,2,)),""))),"")</f>
        <v/>
      </c>
      <c r="M40" s="73" t="n"/>
      <c r="N40" s="166" t="n"/>
    </row>
    <row r="41">
      <c r="A41" s="4">
        <f>IF(F41='1. Configuration'!$C$12,"",IF((G41='1. Configuration'!$C$51),(IF(D41&gt;0,(IF(COUNTIF($D$6:D40,D41)&gt;0,"",MAX($A$6:A40)+1)),"")),""))</f>
        <v/>
      </c>
      <c r="B41" s="4">
        <f t="array" ref="B41">IF((F41='1. Configuration'!$B$12),(IF(D41&gt;0,(IF(COUNTIF($D$6:D40,D41)&gt;0,"",MAX($B$6:B40)+1)),"")),"")</f>
        <v/>
      </c>
      <c r="C41" s="4">
        <f>D41&amp;C$39</f>
        <v/>
      </c>
      <c r="D41" s="71" t="n"/>
      <c r="E41" s="135" t="n"/>
      <c r="F41" s="143">
        <f t="array" ref="F41">IFERROR(IF(INDEX('2. Collaborateurs·trices'!$A$6:$M$40,(MATCH('3. Prestations'!D41,'2. Collaborateurs·trices'!$C$6:$C$40,0)),8)=0,'1. Configuration'!$B$12,INDEX('2. Collaborateurs·trices'!$A$6:$M$40,(MATCH('3. Prestations'!D41,'2. Collaborateurs·trices'!$C$6:$C$40,0)),8)),'1. Configuration'!$B$12)</f>
        <v/>
      </c>
      <c r="G41" s="140">
        <f t="array" ref="G41">IFERROR(IF((INDEX('2. Collaborateurs·trices'!$A$6:$M$40,(MATCH('3. Prestations'!D41,'2. Collaborateurs·trices'!$C$6:$C$40,0)),10)=0),'1. Configuration'!$C$51,INDEX('2. Collaborateurs·trices'!$A$6:$M$40,(MATCH('3. Prestations'!D41,'2. Collaborateurs·trices'!$C$6:$C$40,0)),10)),IF(E41="","",'1. Configuration'!$C$51))</f>
        <v/>
      </c>
      <c r="H41" s="57">
        <f t="array" ref="H41">IFERROR(IF(AND(F41='1. Configuration'!$B$12,G41='1. Configuration'!$C$51),IF((F41='1. Configuration'!$B$12),(VLOOKUP(E41,'1. Configuration'!$A$13:$C$21,2,)),""),""),"")</f>
        <v/>
      </c>
      <c r="I41" s="53" t="n"/>
      <c r="J41" s="54" t="n"/>
      <c r="K41" s="55" t="n"/>
      <c r="L41" s="58">
        <f t="array" ref="L41">IFERROR(IF((F41='1. Configuration'!$C$12),(VLOOKUP(E41,'1. Configuration'!$A$13:$C$21,3,)),(IF((G41='1. Configuration'!$B$51),(VLOOKUP(E41,'1. Configuration'!$A$13:$C$21,2,)),""))),"")</f>
        <v/>
      </c>
      <c r="M41" s="73" t="n"/>
      <c r="N41" s="167" t="n"/>
    </row>
    <row r="42">
      <c r="A42" s="4">
        <f>IF(F42='1. Configuration'!$C$12,"",IF((G42='1. Configuration'!$C$51),(IF(D42&gt;0,(IF(COUNTIF($D$6:D41,D42)&gt;0,"",MAX($A$6:A41)+1)),"")),""))</f>
        <v/>
      </c>
      <c r="B42" s="4">
        <f t="array" ref="B42">IF((F42='1. Configuration'!$B$12),(IF(D42&gt;0,(IF(COUNTIF($D$6:D41,D42)&gt;0,"",MAX($B$6:B41)+1)),"")),"")</f>
        <v/>
      </c>
      <c r="C42" s="4">
        <f>D42&amp;C$39</f>
        <v/>
      </c>
      <c r="D42" s="71" t="n"/>
      <c r="E42" s="135" t="n"/>
      <c r="F42" s="143">
        <f t="array" ref="F42">IFERROR(IF(INDEX('2. Collaborateurs·trices'!$A$6:$M$40,(MATCH('3. Prestations'!D42,'2. Collaborateurs·trices'!$C$6:$C$40,0)),8)=0,'1. Configuration'!$B$12,INDEX('2. Collaborateurs·trices'!$A$6:$M$40,(MATCH('3. Prestations'!D42,'2. Collaborateurs·trices'!$C$6:$C$40,0)),8)),'1. Configuration'!$B$12)</f>
        <v/>
      </c>
      <c r="G42" s="140">
        <f t="array" ref="G42">IFERROR(IF((INDEX('2. Collaborateurs·trices'!$A$6:$M$40,(MATCH('3. Prestations'!D42,'2. Collaborateurs·trices'!$C$6:$C$40,0)),10)=0),'1. Configuration'!$C$51,INDEX('2. Collaborateurs·trices'!$A$6:$M$40,(MATCH('3. Prestations'!D42,'2. Collaborateurs·trices'!$C$6:$C$40,0)),10)),IF(E42="","",'1. Configuration'!$C$51))</f>
        <v/>
      </c>
      <c r="H42" s="57">
        <f t="array" ref="H42">IFERROR(IF(AND(F42='1. Configuration'!$B$12,G42='1. Configuration'!$C$51),IF((F42='1. Configuration'!$B$12),(VLOOKUP(E42,'1. Configuration'!$A$13:$C$21,2,)),""),""),"")</f>
        <v/>
      </c>
      <c r="I42" s="53" t="n"/>
      <c r="J42" s="54" t="n"/>
      <c r="K42" s="55" t="n"/>
      <c r="L42" s="58">
        <f t="array" ref="L42">IFERROR(IF((F42='1. Configuration'!$C$12),(VLOOKUP(E42,'1. Configuration'!$A$13:$C$21,3,)),(IF((G42='1. Configuration'!$B$51),(VLOOKUP(E42,'1. Configuration'!$A$13:$C$21,2,)),""))),"")</f>
        <v/>
      </c>
      <c r="M42" s="73" t="n"/>
      <c r="N42" s="167" t="n"/>
    </row>
    <row r="43">
      <c r="A43" s="4">
        <f>IF(F43='1. Configuration'!$C$12,"",IF((G43='1. Configuration'!$C$51),(IF(D43&gt;0,(IF(COUNTIF($D$6:D42,D43)&gt;0,"",MAX($A$6:A42)+1)),"")),""))</f>
        <v/>
      </c>
      <c r="B43" s="4">
        <f t="array" ref="B43">IF((F43='1. Configuration'!$B$12),(IF(D43&gt;0,(IF(COUNTIF($D$6:D42,D43)&gt;0,"",MAX($B$6:B42)+1)),"")),"")</f>
        <v/>
      </c>
      <c r="C43" s="4">
        <f>D43&amp;C$39</f>
        <v/>
      </c>
      <c r="D43" s="71" t="n"/>
      <c r="E43" s="135" t="n"/>
      <c r="F43" s="143">
        <f t="array" ref="F43">IFERROR(IF(INDEX('2. Collaborateurs·trices'!$A$6:$M$40,(MATCH('3. Prestations'!D43,'2. Collaborateurs·trices'!$C$6:$C$40,0)),8)=0,'1. Configuration'!$B$12,INDEX('2. Collaborateurs·trices'!$A$6:$M$40,(MATCH('3. Prestations'!D43,'2. Collaborateurs·trices'!$C$6:$C$40,0)),8)),"")</f>
        <v/>
      </c>
      <c r="G43" s="140">
        <f t="array" ref="G43">IFERROR(IF((INDEX('2. Collaborateurs·trices'!$A$6:$M$40,(MATCH('3. Prestations'!D43,'2. Collaborateurs·trices'!$C$6:$C$40,0)),10)=0),'1. Configuration'!$C$51,INDEX('2. Collaborateurs·trices'!$A$6:$M$40,(MATCH('3. Prestations'!D43,'2. Collaborateurs·trices'!$C$6:$C$40,0)),10)),IF(E43="","",'1. Configuration'!$C$51))</f>
        <v/>
      </c>
      <c r="H43" s="57">
        <f t="array" ref="H43">IFERROR(IF(AND(F43='1. Configuration'!$B$12,G43='1. Configuration'!$C$51),IF((F43='1. Configuration'!$B$12),(VLOOKUP(E43,'1. Configuration'!$A$13:$C$21,2,)),""),""),"")</f>
        <v/>
      </c>
      <c r="I43" s="53" t="n"/>
      <c r="J43" s="54" t="n"/>
      <c r="K43" s="55" t="n"/>
      <c r="L43" s="58">
        <f t="array" ref="L43">IFERROR(IF((F43='1. Configuration'!$C$12),(VLOOKUP(E43,'1. Configuration'!$A$13:$C$21,3,)),(IF((G43='1. Configuration'!$B$51),(VLOOKUP(E43,'1. Configuration'!$A$13:$C$21,2,)),""))),"")</f>
        <v/>
      </c>
      <c r="M43" s="73" t="n"/>
      <c r="N43" s="167" t="n"/>
    </row>
    <row r="44">
      <c r="A44" s="4">
        <f>IF(F44='1. Configuration'!$C$12,"",IF((G44='1. Configuration'!$C$51),(IF(D44&gt;0,(IF(COUNTIF($D$6:D43,D44)&gt;0,"",MAX($A$6:A43)+1)),"")),""))</f>
        <v/>
      </c>
      <c r="B44" s="4">
        <f t="array" ref="B44">IF((F44='1. Configuration'!$B$12),(IF(D44&gt;0,(IF(COUNTIF($D$6:D43,D44)&gt;0,"",MAX($B$6:B43)+1)),"")),"")</f>
        <v/>
      </c>
      <c r="C44" s="4">
        <f>D44&amp;C$39</f>
        <v/>
      </c>
      <c r="D44" s="71" t="n"/>
      <c r="E44" s="135" t="n"/>
      <c r="F44" s="143">
        <f t="array" ref="F44">IFERROR(IF(INDEX('2. Collaborateurs·trices'!$A$6:$M$40,(MATCH('3. Prestations'!D44,'2. Collaborateurs·trices'!$C$6:$C$40,0)),8)=0,'1. Configuration'!$B$12,INDEX('2. Collaborateurs·trices'!$A$6:$M$40,(MATCH('3. Prestations'!D44,'2. Collaborateurs·trices'!$C$6:$C$40,0)),8)),"")</f>
        <v/>
      </c>
      <c r="G44" s="140">
        <f t="array" ref="G44">IFERROR(IF((INDEX('2. Collaborateurs·trices'!$A$6:$M$40,(MATCH('3. Prestations'!D44,'2. Collaborateurs·trices'!$C$6:$C$40,0)),10)=0),'1. Configuration'!$C$51,INDEX('2. Collaborateurs·trices'!$A$6:$M$40,(MATCH('3. Prestations'!D44,'2. Collaborateurs·trices'!$C$6:$C$40,0)),10)),IF(E44="","",'1. Configuration'!$C$51))</f>
        <v/>
      </c>
      <c r="H44" s="57">
        <f t="array" ref="H44">IFERROR(IF(AND(F44='1. Configuration'!$B$12,G44='1. Configuration'!$C$51),IF((F44='1. Configuration'!$B$12),(VLOOKUP(E44,'1. Configuration'!$A$13:$C$21,2,)),""),""),"")</f>
        <v/>
      </c>
      <c r="I44" s="53" t="n"/>
      <c r="J44" s="54" t="n"/>
      <c r="K44" s="55" t="n"/>
      <c r="L44" s="58">
        <f t="array" ref="L44">IFERROR(IF((F44='1. Configuration'!$C$12),(VLOOKUP(E44,'1. Configuration'!$A$13:$C$21,3,)),(IF((G44='1. Configuration'!$B$51),(VLOOKUP(E44,'1. Configuration'!$A$13:$C$21,2,)),""))),"")</f>
        <v/>
      </c>
      <c r="M44" s="73" t="n"/>
      <c r="N44" s="167" t="n"/>
    </row>
    <row r="45">
      <c r="A45" s="4">
        <f>IF(F45='1. Configuration'!$C$12,"",IF((G45='1. Configuration'!$C$51),(IF(D45&gt;0,(IF(COUNTIF($D$6:D44,D45)&gt;0,"",MAX($A$6:A44)+1)),"")),""))</f>
        <v/>
      </c>
      <c r="B45" s="4">
        <f t="array" ref="B45">IF((F45='1. Configuration'!$B$12),(IF(D45&gt;0,(IF(COUNTIF($D$6:D44,D45)&gt;0,"",MAX($B$6:B44)+1)),"")),"")</f>
        <v/>
      </c>
      <c r="C45" s="4">
        <f>D45&amp;C$39</f>
        <v/>
      </c>
      <c r="D45" s="71" t="n"/>
      <c r="E45" s="135" t="n"/>
      <c r="F45" s="143">
        <f t="array" ref="F45">IFERROR(IF(INDEX('2. Collaborateurs·trices'!$A$6:$M$40,(MATCH('3. Prestations'!D45,'2. Collaborateurs·trices'!$C$6:$C$40,0)),8)=0,'1. Configuration'!$B$12,INDEX('2. Collaborateurs·trices'!$A$6:$M$40,(MATCH('3. Prestations'!D45,'2. Collaborateurs·trices'!$C$6:$C$40,0)),8)),"")</f>
        <v/>
      </c>
      <c r="G45" s="140">
        <f t="array" ref="G45">IFERROR(IF((INDEX('2. Collaborateurs·trices'!$A$6:$M$40,(MATCH('3. Prestations'!D45,'2. Collaborateurs·trices'!$C$6:$C$40,0)),10)=0),'1. Configuration'!$C$51,INDEX('2. Collaborateurs·trices'!$A$6:$M$40,(MATCH('3. Prestations'!D45,'2. Collaborateurs·trices'!$C$6:$C$40,0)),10)),IF(E45="","",'1. Configuration'!$C$51))</f>
        <v/>
      </c>
      <c r="H45" s="57">
        <f t="array" ref="H45">IFERROR(IF(AND(F45='1. Configuration'!$B$12,G45='1. Configuration'!$C$51),IF((F45='1. Configuration'!$B$12),(VLOOKUP(E45,'1. Configuration'!$A$13:$C$21,2,)),""),""),"")</f>
        <v/>
      </c>
      <c r="I45" s="53" t="n"/>
      <c r="J45" s="54" t="n"/>
      <c r="K45" s="55" t="n"/>
      <c r="L45" s="58">
        <f t="array" ref="L45">IFERROR(IF((F45='1. Configuration'!$C$12),(VLOOKUP(E45,'1. Configuration'!$A$13:$C$21,3,)),(IF((G45='1. Configuration'!$B$51),(VLOOKUP(E45,'1. Configuration'!$A$13:$C$21,2,)),""))),"")</f>
        <v/>
      </c>
      <c r="M45" s="73" t="n"/>
      <c r="N45" s="167" t="n"/>
    </row>
    <row r="46">
      <c r="A46" s="4">
        <f>IF(F46='1. Configuration'!$C$12,"",IF((G46='1. Configuration'!$C$51),(IF(D46&gt;0,(IF(COUNTIF($D$6:D45,D46)&gt;0,"",MAX($A$6:A45)+1)),"")),""))</f>
        <v/>
      </c>
      <c r="B46" s="4">
        <f t="array" ref="B46">IF((F46='1. Configuration'!$B$12),(IF(D46&gt;0,(IF(COUNTIF($D$6:D45,D46)&gt;0,"",MAX($B$6:B45)+1)),"")),"")</f>
        <v/>
      </c>
      <c r="C46" s="4">
        <f>D46&amp;C$39</f>
        <v/>
      </c>
      <c r="D46" s="71" t="n"/>
      <c r="E46" s="135" t="n"/>
      <c r="F46" s="143">
        <f t="array" ref="F46">IFERROR(IF(INDEX('2. Collaborateurs·trices'!$A$6:$M$40,(MATCH('3. Prestations'!D46,'2. Collaborateurs·trices'!$C$6:$C$40,0)),8)=0,'1. Configuration'!$B$12,INDEX('2. Collaborateurs·trices'!$A$6:$M$40,(MATCH('3. Prestations'!D46,'2. Collaborateurs·trices'!$C$6:$C$40,0)),8)),"")</f>
        <v/>
      </c>
      <c r="G46" s="140">
        <f t="array" ref="G46">IFERROR(IF((INDEX('2. Collaborateurs·trices'!$A$6:$M$40,(MATCH('3. Prestations'!D46,'2. Collaborateurs·trices'!$C$6:$C$40,0)),10)=0),'1. Configuration'!$C$51,INDEX('2. Collaborateurs·trices'!$A$6:$M$40,(MATCH('3. Prestations'!D46,'2. Collaborateurs·trices'!$C$6:$C$40,0)),10)),IF(E46="","",'1. Configuration'!$C$51))</f>
        <v/>
      </c>
      <c r="H46" s="57">
        <f t="array" ref="H46">IFERROR(IF(AND(F46='1. Configuration'!$B$12,G46='1. Configuration'!$C$51),IF((F46='1. Configuration'!$B$12),(VLOOKUP(E46,'1. Configuration'!$A$13:$C$21,2,)),""),""),"")</f>
        <v/>
      </c>
      <c r="I46" s="53" t="n"/>
      <c r="J46" s="54" t="n"/>
      <c r="K46" s="55" t="n"/>
      <c r="L46" s="58">
        <f t="array" ref="L46">IFERROR(IF((F46='1. Configuration'!$C$12),(VLOOKUP(E46,'1. Configuration'!$A$13:$C$21,3,)),(IF((G46='1. Configuration'!$B$51),(VLOOKUP(E46,'1. Configuration'!$A$13:$C$21,2,)),""))),"")</f>
        <v/>
      </c>
      <c r="M46" s="73" t="n"/>
      <c r="N46" s="167" t="n"/>
    </row>
    <row r="47" ht="15" customHeight="1" thickBot="1">
      <c r="A47" s="4">
        <f>IF(F47='1. Configuration'!$C$12,"",IF((G47='1. Configuration'!$C$51),(IF(D47&gt;0,(IF(COUNTIF($D$6:D46,D47)&gt;0,"",MAX($A$6:A46)+1)),"")),""))</f>
        <v/>
      </c>
      <c r="B47" s="4">
        <f t="array" ref="B47">IF((F47='1. Configuration'!$B$12),(IF(D47&gt;0,(IF(COUNTIF($D$6:D46,D47)&gt;0,"",MAX($B$6:B46)+1)),"")),"")</f>
        <v/>
      </c>
      <c r="C47" s="4">
        <f>D47&amp;C$39</f>
        <v/>
      </c>
      <c r="D47" s="72" t="n"/>
      <c r="E47" s="136" t="n"/>
      <c r="F47" s="145">
        <f t="array" ref="F47">IFERROR(IF(INDEX('2. Collaborateurs·trices'!$A$6:$M$40,(MATCH('3. Prestations'!D47,'2. Collaborateurs·trices'!$C$6:$C$40,0)),8)=0,'1. Configuration'!$B$12,INDEX('2. Collaborateurs·trices'!$A$6:$M$40,(MATCH('3. Prestations'!D47,'2. Collaborateurs·trices'!$C$6:$C$40,0)),8)),"")</f>
        <v/>
      </c>
      <c r="G47" s="141">
        <f t="array" ref="G47">IFERROR(IF((INDEX('2. Collaborateurs·trices'!$A$6:$M$40,(MATCH('3. Prestations'!D47,'2. Collaborateurs·trices'!$C$6:$C$40,0)),10)=0),'1. Configuration'!$C$51,INDEX('2. Collaborateurs·trices'!$A$6:$M$40,(MATCH('3. Prestations'!D47,'2. Collaborateurs·trices'!$C$6:$C$40,0)),10)),IF(E47="","",'1. Configuration'!$C$51))</f>
        <v/>
      </c>
      <c r="H47" s="59">
        <f t="array" ref="H47">IFERROR(IF(AND(F47='1. Configuration'!$B$12,G47='1. Configuration'!$C$51),IF((F47='1. Configuration'!$B$12),(VLOOKUP(E47,'1. Configuration'!$A$13:$C$21,2,)),""),""),"")</f>
        <v/>
      </c>
      <c r="I47" s="60" t="n"/>
      <c r="J47" s="61" t="n"/>
      <c r="K47" s="62" t="n"/>
      <c r="L47" s="63">
        <f t="array" ref="L47">IFERROR(IF((F47='1. Configuration'!$C$12),(VLOOKUP(E47,'1. Configuration'!$A$13:$C$21,3,)),(IF((G47='1. Configuration'!$B$51),(VLOOKUP(E47,'1. Configuration'!$A$13:$C$21,2,)),""))),"")</f>
        <v/>
      </c>
      <c r="M47" s="74" t="n"/>
      <c r="N47" s="168" t="n"/>
    </row>
    <row r="48" ht="15" customHeight="1" thickBot="1">
      <c r="A48" s="4">
        <f>IF(F48='1. Configuration'!$C$12,"",IF((G48='1. Configuration'!$C$51),(IF(D48&gt;0,(IF(COUNTIF($D$6:D47,D48)&gt;0,"",MAX($A$6:A47)+1)),"")),""))</f>
        <v/>
      </c>
      <c r="B48" s="4">
        <f t="array" ref="B48">IF((F48='1. Configuration'!$B$12),(IF(D48&gt;0,(IF(COUNTIF($D$6:D47,D48)&gt;0,"",MAX($B$6:B47)+1)),"")),"")</f>
        <v/>
      </c>
    </row>
    <row r="49">
      <c r="A49" s="4">
        <f>IF(F49='1. Configuration'!$C$12,"",IF((G49='1. Configuration'!$C$51),(IF(D49&gt;0,(IF(COUNTIF($D$6:D48,D49)&gt;0,"",MAX($A$6:A48)+1)),"")),""))</f>
        <v/>
      </c>
      <c r="B49" s="4">
        <f t="array" ref="B49">IF((F49='1. Configuration'!$B$12),(IF(D49&gt;0,(IF(COUNTIF($D$6:D48,D49)&gt;0,"",MAX($B$6:B48)+1)),"")),"")</f>
        <v/>
      </c>
      <c r="D49" s="117">
        <f>TEXT(DAY('1. Configuration'!B28),"00")&amp;"."&amp;TEXT(MONTH('1. Configuration'!B28),"00")&amp;"."&amp;TEXT(YEAR('1. Configuration'!B28),"00")&amp;" | "&amp;'1. Configuration'!A28</f>
        <v/>
      </c>
      <c r="E49" s="118" t="n"/>
      <c r="F49" s="118" t="n"/>
      <c r="G49" s="119" t="n"/>
      <c r="H49" s="122">
        <f>$H$5</f>
        <v/>
      </c>
      <c r="I49" s="120" t="n"/>
      <c r="J49" s="120" t="n"/>
      <c r="K49" s="120" t="n"/>
      <c r="L49" s="120">
        <f>$L$5</f>
        <v/>
      </c>
      <c r="M49" s="121" t="n"/>
      <c r="N49" s="165" t="n"/>
    </row>
    <row r="50" ht="15" customHeight="1" thickBot="1">
      <c r="A50" s="4">
        <f>IF(F50='1. Configuration'!$C$12,"",IF((G50='1. Configuration'!$C$51),(IF(D50&gt;0,(IF(COUNTIF($D$6:D49,D50)&gt;0,"",MAX($A$6:A49)+1)),"")),""))</f>
        <v/>
      </c>
      <c r="B50" s="4">
        <f t="array" ref="B50">IF((F50='1. Configuration'!$B$12),(IF(D50&gt;0,(IF(COUNTIF($D$6:D49,D50)&gt;0,"",MAX($B$6:B49)+1)),"")),"")</f>
        <v/>
      </c>
      <c r="C50" s="51">
        <f>'1. Configuration'!B28</f>
        <v/>
      </c>
      <c r="D50" s="123">
        <f>$D$6</f>
        <v/>
      </c>
      <c r="E50" s="124">
        <f>$E$6</f>
        <v/>
      </c>
      <c r="F50" s="124">
        <f>$F$6</f>
        <v/>
      </c>
      <c r="G50" s="125">
        <f>$G$6</f>
        <v/>
      </c>
      <c r="H50" s="126">
        <f>$H$6</f>
        <v/>
      </c>
      <c r="I50" s="124" t="n"/>
      <c r="J50" s="124" t="n"/>
      <c r="K50" s="124" t="n"/>
      <c r="L50" s="124" t="inlineStr">
        <is>
          <t>Cachet</t>
        </is>
      </c>
      <c r="M50" s="127">
        <f>$M$6</f>
        <v/>
      </c>
      <c r="N50" s="162" t="n"/>
    </row>
    <row r="51">
      <c r="A51" s="4">
        <f>IF(F51='1. Configuration'!$C$12,"",IF((G51='1. Configuration'!$C$51),(IF(D51&gt;0,(IF(COUNTIF($D$6:D50,D51)&gt;0,"",MAX($A$6:A50)+1)),"")),""))</f>
        <v/>
      </c>
      <c r="B51" s="4">
        <f t="array" ref="B51">IF((F51='1. Configuration'!$B$12),(IF(D51&gt;0,(IF(COUNTIF($D$6:D50,D51)&gt;0,"",MAX($B$6:B50)+1)),"")),"")</f>
        <v/>
      </c>
      <c r="C51" s="4">
        <f>D51&amp;C$50</f>
        <v/>
      </c>
      <c r="D51" s="70" t="n"/>
      <c r="E51" s="134" t="n"/>
      <c r="F51" s="144">
        <f t="array" ref="F51">IFERROR(IF(INDEX('2. Collaborateurs·trices'!$A$6:$M$40,(MATCH('3. Prestations'!D51,'2. Collaborateurs·trices'!$C$6:$C$40,0)),8)=0,'1. Configuration'!$B$12,INDEX('2. Collaborateurs·trices'!$A$6:$M$40,(MATCH('3. Prestations'!D51,'2. Collaborateurs·trices'!$C$6:$C$40,0)),8)),'1. Configuration'!$B$12)</f>
        <v/>
      </c>
      <c r="G51" s="139">
        <f t="array" ref="G51">IFERROR(IF((INDEX('2. Collaborateurs·trices'!$A$6:$M$40,(MATCH('3. Prestations'!D51,'2. Collaborateurs·trices'!$C$6:$C$40,0)),10)=0),'1. Configuration'!$C$51,INDEX('2. Collaborateurs·trices'!$A$6:$M$40,(MATCH('3. Prestations'!D51,'2. Collaborateurs·trices'!$C$6:$C$40,0)),10)),IF(E51="","",'1. Configuration'!$C$51))</f>
        <v/>
      </c>
      <c r="H51" s="52">
        <f t="array" ref="H51">IFERROR(IF(AND(F51='1. Configuration'!$B$12,G51='1. Configuration'!$C$51),IF((F51='1. Configuration'!$B$12),(VLOOKUP(E51,'1. Configuration'!$A$13:$C$21,2,)),""),""),"")</f>
        <v/>
      </c>
      <c r="I51" s="53" t="n"/>
      <c r="J51" s="54" t="n"/>
      <c r="K51" s="55" t="n"/>
      <c r="L51" s="56">
        <f t="array" ref="L51">IFERROR(IF((F51='1. Configuration'!$C$12),(VLOOKUP(E51,'1. Configuration'!$A$13:$C$21,3,)),(IF((G51='1. Configuration'!$B$51),(VLOOKUP(E51,'1. Configuration'!$A$13:$C$21,2,)),""))),"")</f>
        <v/>
      </c>
      <c r="M51" s="73" t="n"/>
      <c r="N51" s="166" t="n"/>
    </row>
    <row r="52">
      <c r="A52" s="4">
        <f>IF(F52='1. Configuration'!$C$12,"",IF((G52='1. Configuration'!$C$51),(IF(D52&gt;0,(IF(COUNTIF($D$6:D51,D52)&gt;0,"",MAX($A$6:A51)+1)),"")),""))</f>
        <v/>
      </c>
      <c r="B52" s="4">
        <f t="array" ref="B52">IF((F52='1. Configuration'!$B$12),(IF(D52&gt;0,(IF(COUNTIF($D$6:D51,D52)&gt;0,"",MAX($B$6:B51)+1)),"")),"")</f>
        <v/>
      </c>
      <c r="C52" s="4">
        <f>D52&amp;C$50</f>
        <v/>
      </c>
      <c r="D52" s="71" t="n"/>
      <c r="E52" s="135" t="n"/>
      <c r="F52" s="143">
        <f t="array" ref="F52">IFERROR(IF(INDEX('2. Collaborateurs·trices'!$A$6:$M$40,(MATCH('3. Prestations'!D52,'2. Collaborateurs·trices'!$C$6:$C$40,0)),8)=0,'1. Configuration'!$B$12,INDEX('2. Collaborateurs·trices'!$A$6:$M$40,(MATCH('3. Prestations'!D52,'2. Collaborateurs·trices'!$C$6:$C$40,0)),8)),'1. Configuration'!$B$12)</f>
        <v/>
      </c>
      <c r="G52" s="140">
        <f t="array" ref="G52">IFERROR(IF((INDEX('2. Collaborateurs·trices'!$A$6:$M$40,(MATCH('3. Prestations'!D52,'2. Collaborateurs·trices'!$C$6:$C$40,0)),10)=0),'1. Configuration'!$C$51,INDEX('2. Collaborateurs·trices'!$A$6:$M$40,(MATCH('3. Prestations'!D52,'2. Collaborateurs·trices'!$C$6:$C$40,0)),10)),IF(E52="","",'1. Configuration'!$C$51))</f>
        <v/>
      </c>
      <c r="H52" s="57">
        <f t="array" ref="H52">IFERROR(IF(AND(F52='1. Configuration'!$B$12,G52='1. Configuration'!$C$51),IF((F52='1. Configuration'!$B$12),(VLOOKUP(E52,'1. Configuration'!$A$13:$C$21,2,)),""),""),"")</f>
        <v/>
      </c>
      <c r="I52" s="53" t="n"/>
      <c r="J52" s="54" t="n"/>
      <c r="K52" s="55" t="n"/>
      <c r="L52" s="58">
        <f t="array" ref="L52">IFERROR(IF((F52='1. Configuration'!$C$12),(VLOOKUP(E52,'1. Configuration'!$A$13:$C$21,3,)),(IF((G52='1. Configuration'!$B$51),(VLOOKUP(E52,'1. Configuration'!$A$13:$C$21,2,)),""))),"")</f>
        <v/>
      </c>
      <c r="M52" s="73" t="n"/>
      <c r="N52" s="167" t="n"/>
    </row>
    <row r="53">
      <c r="A53" s="4">
        <f>IF(F53='1. Configuration'!$C$12,"",IF((G53='1. Configuration'!$C$51),(IF(D53&gt;0,(IF(COUNTIF($D$6:D52,D53)&gt;0,"",MAX($A$6:A52)+1)),"")),""))</f>
        <v/>
      </c>
      <c r="B53" s="4">
        <f t="array" ref="B53">IF((F53='1. Configuration'!$B$12),(IF(D53&gt;0,(IF(COUNTIF($D$6:D52,D53)&gt;0,"",MAX($B$6:B52)+1)),"")),"")</f>
        <v/>
      </c>
      <c r="C53" s="4">
        <f>D53&amp;C$50</f>
        <v/>
      </c>
      <c r="D53" s="71" t="n"/>
      <c r="E53" s="135" t="n"/>
      <c r="F53" s="143">
        <f t="array" ref="F53">IFERROR(IF(INDEX('2. Collaborateurs·trices'!$A$6:$M$40,(MATCH('3. Prestations'!D53,'2. Collaborateurs·trices'!$C$6:$C$40,0)),8)=0,'1. Configuration'!$B$12,INDEX('2. Collaborateurs·trices'!$A$6:$M$40,(MATCH('3. Prestations'!D53,'2. Collaborateurs·trices'!$C$6:$C$40,0)),8)),'1. Configuration'!$B$12)</f>
        <v/>
      </c>
      <c r="G53" s="140">
        <f t="array" ref="G53">IFERROR(IF((INDEX('2. Collaborateurs·trices'!$A$6:$M$40,(MATCH('3. Prestations'!D53,'2. Collaborateurs·trices'!$C$6:$C$40,0)),10)=0),'1. Configuration'!$C$51,INDEX('2. Collaborateurs·trices'!$A$6:$M$40,(MATCH('3. Prestations'!D53,'2. Collaborateurs·trices'!$C$6:$C$40,0)),10)),IF(E53="","",'1. Configuration'!$C$51))</f>
        <v/>
      </c>
      <c r="H53" s="57">
        <f t="array" ref="H53">IFERROR(IF(AND(F53='1. Configuration'!$B$12,G53='1. Configuration'!$C$51),IF((F53='1. Configuration'!$B$12),(VLOOKUP(E53,'1. Configuration'!$A$13:$C$21,2,)),""),""),"")</f>
        <v/>
      </c>
      <c r="I53" s="53" t="n"/>
      <c r="J53" s="54" t="n"/>
      <c r="K53" s="55" t="n"/>
      <c r="L53" s="58">
        <f t="array" ref="L53">IFERROR(IF((F53='1. Configuration'!$C$12),(VLOOKUP(E53,'1. Configuration'!$A$13:$C$21,3,)),(IF((G53='1. Configuration'!$B$51),(VLOOKUP(E53,'1. Configuration'!$A$13:$C$21,2,)),""))),"")</f>
        <v/>
      </c>
      <c r="M53" s="73" t="n"/>
      <c r="N53" s="167" t="n"/>
    </row>
    <row r="54">
      <c r="A54" s="4">
        <f>IF(F54='1. Configuration'!$C$12,"",IF((G54='1. Configuration'!$C$51),(IF(D54&gt;0,(IF(COUNTIF($D$6:D53,D54)&gt;0,"",MAX($A$6:A53)+1)),"")),""))</f>
        <v/>
      </c>
      <c r="B54" s="4">
        <f t="array" ref="B54">IF((F54='1. Configuration'!$B$12),(IF(D54&gt;0,(IF(COUNTIF($D$6:D53,D54)&gt;0,"",MAX($B$6:B53)+1)),"")),"")</f>
        <v/>
      </c>
      <c r="C54" s="4">
        <f>D54&amp;C$50</f>
        <v/>
      </c>
      <c r="D54" s="71" t="n"/>
      <c r="E54" s="135" t="n"/>
      <c r="F54" s="143">
        <f t="array" ref="F54">IFERROR(IF(INDEX('2. Collaborateurs·trices'!$A$6:$M$40,(MATCH('3. Prestations'!D54,'2. Collaborateurs·trices'!$C$6:$C$40,0)),8)=0,'1. Configuration'!$B$12,INDEX('2. Collaborateurs·trices'!$A$6:$M$40,(MATCH('3. Prestations'!D54,'2. Collaborateurs·trices'!$C$6:$C$40,0)),8)),"")</f>
        <v/>
      </c>
      <c r="G54" s="140">
        <f t="array" ref="G54">IFERROR(IF((INDEX('2. Collaborateurs·trices'!$A$6:$M$40,(MATCH('3. Prestations'!D54,'2. Collaborateurs·trices'!$C$6:$C$40,0)),10)=0),'1. Configuration'!$C$51,INDEX('2. Collaborateurs·trices'!$A$6:$M$40,(MATCH('3. Prestations'!D54,'2. Collaborateurs·trices'!$C$6:$C$40,0)),10)),IF(E54="","",'1. Configuration'!$C$51))</f>
        <v/>
      </c>
      <c r="H54" s="57">
        <f t="array" ref="H54">IFERROR(IF(AND(F54='1. Configuration'!$B$12,G54='1. Configuration'!$C$51),IF((F54='1. Configuration'!$B$12),(VLOOKUP(E54,'1. Configuration'!$A$13:$C$21,2,)),""),""),"")</f>
        <v/>
      </c>
      <c r="I54" s="53" t="n"/>
      <c r="J54" s="54" t="n"/>
      <c r="K54" s="55" t="n"/>
      <c r="L54" s="58">
        <f t="array" ref="L54">IFERROR(IF((F54='1. Configuration'!$C$12),(VLOOKUP(E54,'1. Configuration'!$A$13:$C$21,3,)),(IF((G54='1. Configuration'!$B$51),(VLOOKUP(E54,'1. Configuration'!$A$13:$C$21,2,)),""))),"")</f>
        <v/>
      </c>
      <c r="M54" s="73" t="n"/>
      <c r="N54" s="167" t="n"/>
    </row>
    <row r="55">
      <c r="A55" s="4">
        <f>IF(F55='1. Configuration'!$C$12,"",IF((G55='1. Configuration'!$C$51),(IF(D55&gt;0,(IF(COUNTIF($D$6:D54,D55)&gt;0,"",MAX($A$6:A54)+1)),"")),""))</f>
        <v/>
      </c>
      <c r="B55" s="4">
        <f t="array" ref="B55">IF((F55='1. Configuration'!$B$12),(IF(D55&gt;0,(IF(COUNTIF($D$6:D54,D55)&gt;0,"",MAX($B$6:B54)+1)),"")),"")</f>
        <v/>
      </c>
      <c r="C55" s="4">
        <f>D55&amp;C$50</f>
        <v/>
      </c>
      <c r="D55" s="71" t="n"/>
      <c r="E55" s="135" t="n"/>
      <c r="F55" s="143">
        <f t="array" ref="F55">IFERROR(IF(INDEX('2. Collaborateurs·trices'!$A$6:$M$40,(MATCH('3. Prestations'!D55,'2. Collaborateurs·trices'!$C$6:$C$40,0)),8)=0,'1. Configuration'!$B$12,INDEX('2. Collaborateurs·trices'!$A$6:$M$40,(MATCH('3. Prestations'!D55,'2. Collaborateurs·trices'!$C$6:$C$40,0)),8)),"")</f>
        <v/>
      </c>
      <c r="G55" s="140">
        <f t="array" ref="G55">IFERROR(IF((INDEX('2. Collaborateurs·trices'!$A$6:$M$40,(MATCH('3. Prestations'!D55,'2. Collaborateurs·trices'!$C$6:$C$40,0)),10)=0),'1. Configuration'!$C$51,INDEX('2. Collaborateurs·trices'!$A$6:$M$40,(MATCH('3. Prestations'!D55,'2. Collaborateurs·trices'!$C$6:$C$40,0)),10)),IF(E55="","",'1. Configuration'!$C$51))</f>
        <v/>
      </c>
      <c r="H55" s="57">
        <f t="array" ref="H55">IFERROR(IF(AND(F55='1. Configuration'!$B$12,G55='1. Configuration'!$C$51),IF((F55='1. Configuration'!$B$12),(VLOOKUP(E55,'1. Configuration'!$A$13:$C$21,2,)),""),""),"")</f>
        <v/>
      </c>
      <c r="I55" s="53" t="n"/>
      <c r="J55" s="54" t="n"/>
      <c r="K55" s="55" t="n"/>
      <c r="L55" s="58">
        <f t="array" ref="L55">IFERROR(IF((F55='1. Configuration'!$C$12),(VLOOKUP(E55,'1. Configuration'!$A$13:$C$21,3,)),(IF((G55='1. Configuration'!$B$51),(VLOOKUP(E55,'1. Configuration'!$A$13:$C$21,2,)),""))),"")</f>
        <v/>
      </c>
      <c r="M55" s="73" t="n"/>
      <c r="N55" s="167" t="n"/>
    </row>
    <row r="56">
      <c r="A56" s="4">
        <f>IF(F56='1. Configuration'!$C$12,"",IF((G56='1. Configuration'!$C$51),(IF(D56&gt;0,(IF(COUNTIF($D$6:D55,D56)&gt;0,"",MAX($A$6:A55)+1)),"")),""))</f>
        <v/>
      </c>
      <c r="B56" s="4">
        <f t="array" ref="B56">IF((F56='1. Configuration'!$B$12),(IF(D56&gt;0,(IF(COUNTIF($D$6:D55,D56)&gt;0,"",MAX($B$6:B55)+1)),"")),"")</f>
        <v/>
      </c>
      <c r="C56" s="4">
        <f>D56&amp;C$50</f>
        <v/>
      </c>
      <c r="D56" s="71" t="n"/>
      <c r="E56" s="135" t="n"/>
      <c r="F56" s="143">
        <f t="array" ref="F56">IFERROR(IF(INDEX('2. Collaborateurs·trices'!$A$6:$M$40,(MATCH('3. Prestations'!D56,'2. Collaborateurs·trices'!$C$6:$C$40,0)),8)=0,'1. Configuration'!$B$12,INDEX('2. Collaborateurs·trices'!$A$6:$M$40,(MATCH('3. Prestations'!D56,'2. Collaborateurs·trices'!$C$6:$C$40,0)),8)),"")</f>
        <v/>
      </c>
      <c r="G56" s="140">
        <f t="array" ref="G56">IFERROR(IF((INDEX('2. Collaborateurs·trices'!$A$6:$M$40,(MATCH('3. Prestations'!D56,'2. Collaborateurs·trices'!$C$6:$C$40,0)),10)=0),'1. Configuration'!$C$51,INDEX('2. Collaborateurs·trices'!$A$6:$M$40,(MATCH('3. Prestations'!D56,'2. Collaborateurs·trices'!$C$6:$C$40,0)),10)),IF(E56="","",'1. Configuration'!$C$51))</f>
        <v/>
      </c>
      <c r="H56" s="57">
        <f t="array" ref="H56">IFERROR(IF(AND(F56='1. Configuration'!$B$12,G56='1. Configuration'!$C$51),IF((F56='1. Configuration'!$B$12),(VLOOKUP(E56,'1. Configuration'!$A$13:$C$21,2,)),""),""),"")</f>
        <v/>
      </c>
      <c r="I56" s="53" t="n"/>
      <c r="J56" s="54" t="n"/>
      <c r="K56" s="55" t="n"/>
      <c r="L56" s="58">
        <f t="array" ref="L56">IFERROR(IF((F56='1. Configuration'!$C$12),(VLOOKUP(E56,'1. Configuration'!$A$13:$C$21,3,)),(IF((G56='1. Configuration'!$B$51),(VLOOKUP(E56,'1. Configuration'!$A$13:$C$21,2,)),""))),"")</f>
        <v/>
      </c>
      <c r="M56" s="73" t="n"/>
      <c r="N56" s="167" t="n"/>
    </row>
    <row r="57">
      <c r="A57" s="4">
        <f>IF(F57='1. Configuration'!$C$12,"",IF((G57='1. Configuration'!$C$51),(IF(D57&gt;0,(IF(COUNTIF($D$6:D56,D57)&gt;0,"",MAX($A$6:A56)+1)),"")),""))</f>
        <v/>
      </c>
      <c r="B57" s="4">
        <f t="array" ref="B57">IF((F57='1. Configuration'!$B$12),(IF(D57&gt;0,(IF(COUNTIF($D$6:D56,D57)&gt;0,"",MAX($B$6:B56)+1)),"")),"")</f>
        <v/>
      </c>
      <c r="C57" s="4">
        <f>D57&amp;C$50</f>
        <v/>
      </c>
      <c r="D57" s="71" t="n"/>
      <c r="E57" s="135" t="n"/>
      <c r="F57" s="143">
        <f t="array" ref="F57">IFERROR(IF(INDEX('2. Collaborateurs·trices'!$A$6:$M$40,(MATCH('3. Prestations'!D57,'2. Collaborateurs·trices'!$C$6:$C$40,0)),8)=0,'1. Configuration'!$B$12,INDEX('2. Collaborateurs·trices'!$A$6:$M$40,(MATCH('3. Prestations'!D57,'2. Collaborateurs·trices'!$C$6:$C$40,0)),8)),"")</f>
        <v/>
      </c>
      <c r="G57" s="140">
        <f t="array" ref="G57">IFERROR(IF((INDEX('2. Collaborateurs·trices'!$A$6:$M$40,(MATCH('3. Prestations'!D57,'2. Collaborateurs·trices'!$C$6:$C$40,0)),10)=0),'1. Configuration'!$C$51,INDEX('2. Collaborateurs·trices'!$A$6:$M$40,(MATCH('3. Prestations'!D57,'2. Collaborateurs·trices'!$C$6:$C$40,0)),10)),IF(E57="","",'1. Configuration'!$C$51))</f>
        <v/>
      </c>
      <c r="H57" s="57">
        <f t="array" ref="H57">IFERROR(IF(AND(F57='1. Configuration'!$B$12,G57='1. Configuration'!$C$51),IF((F57='1. Configuration'!$B$12),(VLOOKUP(E57,'1. Configuration'!$A$13:$C$21,2,)),""),""),"")</f>
        <v/>
      </c>
      <c r="I57" s="53" t="n"/>
      <c r="J57" s="54" t="n"/>
      <c r="K57" s="55" t="n"/>
      <c r="L57" s="58">
        <f t="array" ref="L57">IFERROR(IF((F57='1. Configuration'!$C$12),(VLOOKUP(E57,'1. Configuration'!$A$13:$C$21,3,)),(IF((G57='1. Configuration'!$B$51),(VLOOKUP(E57,'1. Configuration'!$A$13:$C$21,2,)),""))),"")</f>
        <v/>
      </c>
      <c r="M57" s="73" t="n"/>
      <c r="N57" s="167" t="n"/>
    </row>
    <row r="58" ht="15" customHeight="1" thickBot="1">
      <c r="A58" s="4">
        <f>IF(F58='1. Configuration'!$C$12,"",IF((G58='1. Configuration'!$C$51),(IF(D58&gt;0,(IF(COUNTIF($D$6:D57,D58)&gt;0,"",MAX($A$6:A57)+1)),"")),""))</f>
        <v/>
      </c>
      <c r="B58" s="4">
        <f t="array" ref="B58">IF((F58='1. Configuration'!$B$12),(IF(D58&gt;0,(IF(COUNTIF($D$6:D57,D58)&gt;0,"",MAX($B$6:B57)+1)),"")),"")</f>
        <v/>
      </c>
      <c r="C58" s="4">
        <f>D58&amp;C$50</f>
        <v/>
      </c>
      <c r="D58" s="72" t="n"/>
      <c r="E58" s="136" t="n"/>
      <c r="F58" s="145">
        <f t="array" ref="F58">IFERROR(IF(INDEX('2. Collaborateurs·trices'!$A$6:$M$40,(MATCH('3. Prestations'!D58,'2. Collaborateurs·trices'!$C$6:$C$40,0)),8)=0,'1. Configuration'!$B$12,INDEX('2. Collaborateurs·trices'!$A$6:$M$40,(MATCH('3. Prestations'!D58,'2. Collaborateurs·trices'!$C$6:$C$40,0)),8)),"")</f>
        <v/>
      </c>
      <c r="G58" s="141">
        <f t="array" ref="G58">IFERROR(IF((INDEX('2. Collaborateurs·trices'!$A$6:$M$40,(MATCH('3. Prestations'!D58,'2. Collaborateurs·trices'!$C$6:$C$40,0)),10)=0),'1. Configuration'!$C$51,INDEX('2. Collaborateurs·trices'!$A$6:$M$40,(MATCH('3. Prestations'!D58,'2. Collaborateurs·trices'!$C$6:$C$40,0)),10)),IF(E58="","",'1. Configuration'!$C$51))</f>
        <v/>
      </c>
      <c r="H58" s="59">
        <f t="array" ref="H58">IFERROR(IF(AND(F58='1. Configuration'!$B$12,G58='1. Configuration'!$C$51),IF((F58='1. Configuration'!$B$12),(VLOOKUP(E58,'1. Configuration'!$A$13:$C$21,2,)),""),""),"")</f>
        <v/>
      </c>
      <c r="I58" s="60" t="n"/>
      <c r="J58" s="61" t="n"/>
      <c r="K58" s="62" t="n"/>
      <c r="L58" s="63">
        <f t="array" ref="L58">IFERROR(IF((F58='1. Configuration'!$C$12),(VLOOKUP(E58,'1. Configuration'!$A$13:$C$21,3,)),(IF((G58='1. Configuration'!$B$51),(VLOOKUP(E58,'1. Configuration'!$A$13:$C$21,2,)),""))),"")</f>
        <v/>
      </c>
      <c r="M58" s="74" t="n"/>
      <c r="N58" s="168" t="n"/>
    </row>
    <row r="59" ht="15" customHeight="1" thickBot="1">
      <c r="A59" s="4">
        <f>IF(F59='1. Configuration'!$C$12,"",IF((G59='1. Configuration'!$C$51),(IF(D59&gt;0,(IF(COUNTIF($D$6:D58,D59)&gt;0,"",MAX($A$6:A58)+1)),"")),""))</f>
        <v/>
      </c>
      <c r="B59" s="4">
        <f t="array" ref="B59">IF((F59='1. Configuration'!$B$12),(IF(D59&gt;0,(IF(COUNTIF($D$6:D58,D59)&gt;0,"",MAX($B$6:B58)+1)),"")),"")</f>
        <v/>
      </c>
    </row>
    <row r="60">
      <c r="A60" s="4">
        <f>IF(F60='1. Configuration'!$C$12,"",IF((G60='1. Configuration'!$C$51),(IF(D60&gt;0,(IF(COUNTIF($D$6:D59,D60)&gt;0,"",MAX($A$6:A59)+1)),"")),""))</f>
        <v/>
      </c>
      <c r="B60" s="4">
        <f t="array" ref="B60">IF((F60='1. Configuration'!$B$12),(IF(D60&gt;0,(IF(COUNTIF($D$6:D59,D60)&gt;0,"",MAX($B$6:B59)+1)),"")),"")</f>
        <v/>
      </c>
      <c r="D60" s="117">
        <f>TEXT(DAY('1. Configuration'!B29),"00")&amp;"."&amp;TEXT(MONTH('1. Configuration'!B29),"00")&amp;"."&amp;TEXT(YEAR('1. Configuration'!B29),"00")&amp;" | "&amp;'1. Configuration'!A29</f>
        <v/>
      </c>
      <c r="E60" s="118" t="n"/>
      <c r="F60" s="118" t="n"/>
      <c r="G60" s="119" t="n"/>
      <c r="H60" s="122">
        <f>$H$5</f>
        <v/>
      </c>
      <c r="I60" s="120" t="n"/>
      <c r="J60" s="120" t="n"/>
      <c r="K60" s="120" t="n"/>
      <c r="L60" s="120">
        <f>$L$5</f>
        <v/>
      </c>
      <c r="M60" s="121" t="n"/>
      <c r="N60" s="165" t="n"/>
    </row>
    <row r="61" ht="15" customHeight="1" thickBot="1">
      <c r="A61" s="4">
        <f>IF(F61='1. Configuration'!$C$12,"",IF((G61='1. Configuration'!$C$51),(IF(D61&gt;0,(IF(COUNTIF($D$6:D60,D61)&gt;0,"",MAX($A$6:A60)+1)),"")),""))</f>
        <v/>
      </c>
      <c r="B61" s="4">
        <f t="array" ref="B61">IF((F61='1. Configuration'!$B$12),(IF(D61&gt;0,(IF(COUNTIF($D$6:D60,D61)&gt;0,"",MAX($B$6:B60)+1)),"")),"")</f>
        <v/>
      </c>
      <c r="C61" s="51">
        <f>'1. Configuration'!B29</f>
        <v/>
      </c>
      <c r="D61" s="123">
        <f>$D$6</f>
        <v/>
      </c>
      <c r="E61" s="124">
        <f>$E$6</f>
        <v/>
      </c>
      <c r="F61" s="124">
        <f>$F$6</f>
        <v/>
      </c>
      <c r="G61" s="125">
        <f>$G$6</f>
        <v/>
      </c>
      <c r="H61" s="126">
        <f>$H$6</f>
        <v/>
      </c>
      <c r="I61" s="124" t="n"/>
      <c r="J61" s="124" t="n"/>
      <c r="K61" s="124" t="n"/>
      <c r="L61" s="124" t="inlineStr">
        <is>
          <t>Cachet</t>
        </is>
      </c>
      <c r="M61" s="127">
        <f>$M$6</f>
        <v/>
      </c>
      <c r="N61" s="162" t="n"/>
    </row>
    <row r="62">
      <c r="A62" s="4">
        <f>IF(F62='1. Configuration'!$C$12,"",IF((G62='1. Configuration'!$C$51),(IF(D62&gt;0,(IF(COUNTIF($D$6:D61,D62)&gt;0,"",MAX($A$6:A61)+1)),"")),""))</f>
        <v/>
      </c>
      <c r="B62" s="4">
        <f t="array" ref="B62">IF((F62='1. Configuration'!$B$12),(IF(D62&gt;0,(IF(COUNTIF($D$6:D61,D62)&gt;0,"",MAX($B$6:B61)+1)),"")),"")</f>
        <v/>
      </c>
      <c r="C62" s="4">
        <f>D62&amp;C$61</f>
        <v/>
      </c>
      <c r="D62" s="70" t="n"/>
      <c r="E62" s="134" t="n"/>
      <c r="F62" s="144">
        <f t="array" ref="F62">IFERROR(IF(INDEX('2. Collaborateurs·trices'!$A$6:$M$40,(MATCH('3. Prestations'!D62,'2. Collaborateurs·trices'!$C$6:$C$40,0)),8)=0,'1. Configuration'!$B$12,INDEX('2. Collaborateurs·trices'!$A$6:$M$40,(MATCH('3. Prestations'!D62,'2. Collaborateurs·trices'!$C$6:$C$40,0)),8)),'1. Configuration'!$B$12)</f>
        <v/>
      </c>
      <c r="G62" s="139">
        <f t="array" ref="G62">IFERROR(IF((INDEX('2. Collaborateurs·trices'!$A$6:$M$40,(MATCH('3. Prestations'!D62,'2. Collaborateurs·trices'!$C$6:$C$40,0)),10)=0),'1. Configuration'!$C$51,INDEX('2. Collaborateurs·trices'!$A$6:$M$40,(MATCH('3. Prestations'!D62,'2. Collaborateurs·trices'!$C$6:$C$40,0)),10)),IF(E62="","",'1. Configuration'!$C$51))</f>
        <v/>
      </c>
      <c r="H62" s="52">
        <f t="array" ref="H62">IFERROR(IF(AND(F62='1. Configuration'!$B$12,G62='1. Configuration'!$C$51),IF((F62='1. Configuration'!$B$12),(VLOOKUP(E62,'1. Configuration'!$A$13:$C$21,2,)),""),""),"")</f>
        <v/>
      </c>
      <c r="I62" s="53" t="n"/>
      <c r="J62" s="54" t="n"/>
      <c r="K62" s="55" t="n"/>
      <c r="L62" s="56">
        <f t="array" ref="L62">IFERROR(IF((F62='1. Configuration'!$C$12),(VLOOKUP(E62,'1. Configuration'!$A$13:$C$21,3,)),(IF((G62='1. Configuration'!$B$51),(VLOOKUP(E62,'1. Configuration'!$A$13:$C$21,2,)),""))),"")</f>
        <v/>
      </c>
      <c r="M62" s="73" t="n"/>
      <c r="N62" s="166" t="n"/>
    </row>
    <row r="63">
      <c r="A63" s="4">
        <f>IF(F63='1. Configuration'!$C$12,"",IF((G63='1. Configuration'!$C$51),(IF(D63&gt;0,(IF(COUNTIF($D$6:D62,D63)&gt;0,"",MAX($A$6:A62)+1)),"")),""))</f>
        <v/>
      </c>
      <c r="B63" s="4">
        <f t="array" ref="B63">IF((F63='1. Configuration'!$B$12),(IF(D63&gt;0,(IF(COUNTIF($D$6:D62,D63)&gt;0,"",MAX($B$6:B62)+1)),"")),"")</f>
        <v/>
      </c>
      <c r="C63" s="4">
        <f>D63&amp;C$61</f>
        <v/>
      </c>
      <c r="D63" s="71" t="n"/>
      <c r="E63" s="135" t="n"/>
      <c r="F63" s="143">
        <f t="array" ref="F63">IFERROR(IF(INDEX('2. Collaborateurs·trices'!$A$6:$M$40,(MATCH('3. Prestations'!D63,'2. Collaborateurs·trices'!$C$6:$C$40,0)),8)=0,'1. Configuration'!$B$12,INDEX('2. Collaborateurs·trices'!$A$6:$M$40,(MATCH('3. Prestations'!D63,'2. Collaborateurs·trices'!$C$6:$C$40,0)),8)),'1. Configuration'!$B$12)</f>
        <v/>
      </c>
      <c r="G63" s="140">
        <f t="array" ref="G63">IFERROR(IF((INDEX('2. Collaborateurs·trices'!$A$6:$M$40,(MATCH('3. Prestations'!D63,'2. Collaborateurs·trices'!$C$6:$C$40,0)),10)=0),'1. Configuration'!$C$51,INDEX('2. Collaborateurs·trices'!$A$6:$M$40,(MATCH('3. Prestations'!D63,'2. Collaborateurs·trices'!$C$6:$C$40,0)),10)),IF(E63="","",'1. Configuration'!$C$51))</f>
        <v/>
      </c>
      <c r="H63" s="57">
        <f t="array" ref="H63">IFERROR(IF(AND(F63='1. Configuration'!$B$12,G63='1. Configuration'!$C$51),IF((F63='1. Configuration'!$B$12),(VLOOKUP(E63,'1. Configuration'!$A$13:$C$21,2,)),""),""),"")</f>
        <v/>
      </c>
      <c r="I63" s="53" t="n"/>
      <c r="J63" s="54" t="n"/>
      <c r="K63" s="55" t="n"/>
      <c r="L63" s="58">
        <f t="array" ref="L63">IFERROR(IF((F63='1. Configuration'!$C$12),(VLOOKUP(E63,'1. Configuration'!$A$13:$C$21,3,)),(IF((G63='1. Configuration'!$B$51),(VLOOKUP(E63,'1. Configuration'!$A$13:$C$21,2,)),""))),"")</f>
        <v/>
      </c>
      <c r="M63" s="73" t="n"/>
      <c r="N63" s="167" t="n"/>
    </row>
    <row r="64">
      <c r="A64" s="4">
        <f>IF(F64='1. Configuration'!$C$12,"",IF((G64='1. Configuration'!$C$51),(IF(D64&gt;0,(IF(COUNTIF($D$6:D63,D64)&gt;0,"",MAX($A$6:A63)+1)),"")),""))</f>
        <v/>
      </c>
      <c r="B64" s="4">
        <f t="array" ref="B64">IF((F64='1. Configuration'!$B$12),(IF(D64&gt;0,(IF(COUNTIF($D$6:D63,D64)&gt;0,"",MAX($B$6:B63)+1)),"")),"")</f>
        <v/>
      </c>
      <c r="C64" s="4">
        <f>D64&amp;C$61</f>
        <v/>
      </c>
      <c r="D64" s="71" t="n"/>
      <c r="E64" s="135" t="n"/>
      <c r="F64" s="143">
        <f t="array" ref="F64">IFERROR(IF(INDEX('2. Collaborateurs·trices'!$A$6:$M$40,(MATCH('3. Prestations'!D64,'2. Collaborateurs·trices'!$C$6:$C$40,0)),8)=0,'1. Configuration'!$B$12,INDEX('2. Collaborateurs·trices'!$A$6:$M$40,(MATCH('3. Prestations'!D64,'2. Collaborateurs·trices'!$C$6:$C$40,0)),8)),'1. Configuration'!$B$12)</f>
        <v/>
      </c>
      <c r="G64" s="140">
        <f t="array" ref="G64">IFERROR(IF((INDEX('2. Collaborateurs·trices'!$A$6:$M$40,(MATCH('3. Prestations'!D64,'2. Collaborateurs·trices'!$C$6:$C$40,0)),10)=0),'1. Configuration'!$C$51,INDEX('2. Collaborateurs·trices'!$A$6:$M$40,(MATCH('3. Prestations'!D64,'2. Collaborateurs·trices'!$C$6:$C$40,0)),10)),IF(E64="","",'1. Configuration'!$C$51))</f>
        <v/>
      </c>
      <c r="H64" s="57">
        <f t="array" ref="H64">IFERROR(IF(AND(F64='1. Configuration'!$B$12,G64='1. Configuration'!$C$51),IF((F64='1. Configuration'!$B$12),(VLOOKUP(E64,'1. Configuration'!$A$13:$C$21,2,)),""),""),"")</f>
        <v/>
      </c>
      <c r="I64" s="53" t="n"/>
      <c r="J64" s="54" t="n"/>
      <c r="K64" s="55" t="n"/>
      <c r="L64" s="58">
        <f t="array" ref="L64">IFERROR(IF((F64='1. Configuration'!$C$12),(VLOOKUP(E64,'1. Configuration'!$A$13:$C$21,3,)),(IF((G64='1. Configuration'!$B$51),(VLOOKUP(E64,'1. Configuration'!$A$13:$C$21,2,)),""))),"")</f>
        <v/>
      </c>
      <c r="M64" s="73" t="n"/>
      <c r="N64" s="167" t="n"/>
    </row>
    <row r="65">
      <c r="A65" s="4">
        <f>IF(F65='1. Configuration'!$C$12,"",IF((G65='1. Configuration'!$C$51),(IF(D65&gt;0,(IF(COUNTIF($D$6:D64,D65)&gt;0,"",MAX($A$6:A64)+1)),"")),""))</f>
        <v/>
      </c>
      <c r="B65" s="4">
        <f t="array" ref="B65">IF((F65='1. Configuration'!$B$12),(IF(D65&gt;0,(IF(COUNTIF($D$6:D64,D65)&gt;0,"",MAX($B$6:B64)+1)),"")),"")</f>
        <v/>
      </c>
      <c r="C65" s="4">
        <f>D65&amp;C$61</f>
        <v/>
      </c>
      <c r="D65" s="71" t="n"/>
      <c r="E65" s="135" t="n"/>
      <c r="F65" s="143">
        <f t="array" ref="F65">IFERROR(IF(INDEX('2. Collaborateurs·trices'!$A$6:$M$40,(MATCH('3. Prestations'!D65,'2. Collaborateurs·trices'!$C$6:$C$40,0)),8)=0,'1. Configuration'!$B$12,INDEX('2. Collaborateurs·trices'!$A$6:$M$40,(MATCH('3. Prestations'!D65,'2. Collaborateurs·trices'!$C$6:$C$40,0)),8)),"")</f>
        <v/>
      </c>
      <c r="G65" s="140">
        <f t="array" ref="G65">IFERROR(IF((INDEX('2. Collaborateurs·trices'!$A$6:$M$40,(MATCH('3. Prestations'!D65,'2. Collaborateurs·trices'!$C$6:$C$40,0)),10)=0),'1. Configuration'!$C$51,INDEX('2. Collaborateurs·trices'!$A$6:$M$40,(MATCH('3. Prestations'!D65,'2. Collaborateurs·trices'!$C$6:$C$40,0)),10)),IF(E65="","",'1. Configuration'!$C$51))</f>
        <v/>
      </c>
      <c r="H65" s="57">
        <f t="array" ref="H65">IFERROR(IF(AND(F65='1. Configuration'!$B$12,G65='1. Configuration'!$C$51),IF((F65='1. Configuration'!$B$12),(VLOOKUP(E65,'1. Configuration'!$A$13:$C$21,2,)),""),""),"")</f>
        <v/>
      </c>
      <c r="I65" s="53" t="n"/>
      <c r="J65" s="54" t="n"/>
      <c r="K65" s="55" t="n"/>
      <c r="L65" s="58">
        <f t="array" ref="L65">IFERROR(IF((F65='1. Configuration'!$C$12),(VLOOKUP(E65,'1. Configuration'!$A$13:$C$21,3,)),(IF((G65='1. Configuration'!$B$51),(VLOOKUP(E65,'1. Configuration'!$A$13:$C$21,2,)),""))),"")</f>
        <v/>
      </c>
      <c r="M65" s="73" t="n"/>
      <c r="N65" s="167" t="n"/>
    </row>
    <row r="66">
      <c r="A66" s="4">
        <f>IF(F66='1. Configuration'!$C$12,"",IF((G66='1. Configuration'!$C$51),(IF(D66&gt;0,(IF(COUNTIF($D$6:D65,D66)&gt;0,"",MAX($A$6:A65)+1)),"")),""))</f>
        <v/>
      </c>
      <c r="B66" s="4">
        <f t="array" ref="B66">IF((F66='1. Configuration'!$B$12),(IF(D66&gt;0,(IF(COUNTIF($D$6:D65,D66)&gt;0,"",MAX($B$6:B65)+1)),"")),"")</f>
        <v/>
      </c>
      <c r="C66" s="4">
        <f>D66&amp;C$61</f>
        <v/>
      </c>
      <c r="D66" s="71" t="n"/>
      <c r="E66" s="135" t="n"/>
      <c r="F66" s="143">
        <f t="array" ref="F66">IFERROR(IF(INDEX('2. Collaborateurs·trices'!$A$6:$M$40,(MATCH('3. Prestations'!D66,'2. Collaborateurs·trices'!$C$6:$C$40,0)),8)=0,'1. Configuration'!$B$12,INDEX('2. Collaborateurs·trices'!$A$6:$M$40,(MATCH('3. Prestations'!D66,'2. Collaborateurs·trices'!$C$6:$C$40,0)),8)),"")</f>
        <v/>
      </c>
      <c r="G66" s="140">
        <f t="array" ref="G66">IFERROR(IF((INDEX('2. Collaborateurs·trices'!$A$6:$M$40,(MATCH('3. Prestations'!D66,'2. Collaborateurs·trices'!$C$6:$C$40,0)),10)=0),'1. Configuration'!$C$51,INDEX('2. Collaborateurs·trices'!$A$6:$M$40,(MATCH('3. Prestations'!D66,'2. Collaborateurs·trices'!$C$6:$C$40,0)),10)),IF(E66="","",'1. Configuration'!$C$51))</f>
        <v/>
      </c>
      <c r="H66" s="57">
        <f t="array" ref="H66">IFERROR(IF(AND(F66='1. Configuration'!$B$12,G66='1. Configuration'!$C$51),IF((F66='1. Configuration'!$B$12),(VLOOKUP(E66,'1. Configuration'!$A$13:$C$21,2,)),""),""),"")</f>
        <v/>
      </c>
      <c r="I66" s="53" t="n"/>
      <c r="J66" s="54" t="n"/>
      <c r="K66" s="55" t="n"/>
      <c r="L66" s="58">
        <f t="array" ref="L66">IFERROR(IF((F66='1. Configuration'!$C$12),(VLOOKUP(E66,'1. Configuration'!$A$13:$C$21,3,)),(IF((G66='1. Configuration'!$B$51),(VLOOKUP(E66,'1. Configuration'!$A$13:$C$21,2,)),""))),"")</f>
        <v/>
      </c>
      <c r="M66" s="73" t="n"/>
      <c r="N66" s="167" t="n"/>
    </row>
    <row r="67">
      <c r="A67" s="4">
        <f>IF(F67='1. Configuration'!$C$12,"",IF((G67='1. Configuration'!$C$51),(IF(D67&gt;0,(IF(COUNTIF($D$6:D66,D67)&gt;0,"",MAX($A$6:A66)+1)),"")),""))</f>
        <v/>
      </c>
      <c r="B67" s="4">
        <f t="array" ref="B67">IF((F67='1. Configuration'!$B$12),(IF(D67&gt;0,(IF(COUNTIF($D$6:D66,D67)&gt;0,"",MAX($B$6:B66)+1)),"")),"")</f>
        <v/>
      </c>
      <c r="C67" s="4">
        <f>D67&amp;C$61</f>
        <v/>
      </c>
      <c r="D67" s="71" t="n"/>
      <c r="E67" s="135" t="n"/>
      <c r="F67" s="143">
        <f t="array" ref="F67">IFERROR(IF(INDEX('2. Collaborateurs·trices'!$A$6:$M$40,(MATCH('3. Prestations'!D67,'2. Collaborateurs·trices'!$C$6:$C$40,0)),8)=0,'1. Configuration'!$B$12,INDEX('2. Collaborateurs·trices'!$A$6:$M$40,(MATCH('3. Prestations'!D67,'2. Collaborateurs·trices'!$C$6:$C$40,0)),8)),"")</f>
        <v/>
      </c>
      <c r="G67" s="140">
        <f t="array" ref="G67">IFERROR(IF((INDEX('2. Collaborateurs·trices'!$A$6:$M$40,(MATCH('3. Prestations'!D67,'2. Collaborateurs·trices'!$C$6:$C$40,0)),10)=0),'1. Configuration'!$C$51,INDEX('2. Collaborateurs·trices'!$A$6:$M$40,(MATCH('3. Prestations'!D67,'2. Collaborateurs·trices'!$C$6:$C$40,0)),10)),IF(E67="","",'1. Configuration'!$C$51))</f>
        <v/>
      </c>
      <c r="H67" s="57">
        <f t="array" ref="H67">IFERROR(IF(AND(F67='1. Configuration'!$B$12,G67='1. Configuration'!$C$51),IF((F67='1. Configuration'!$B$12),(VLOOKUP(E67,'1. Configuration'!$A$13:$C$21,2,)),""),""),"")</f>
        <v/>
      </c>
      <c r="I67" s="53" t="n"/>
      <c r="J67" s="54" t="n"/>
      <c r="K67" s="55" t="n"/>
      <c r="L67" s="58">
        <f t="array" ref="L67">IFERROR(IF((F67='1. Configuration'!$C$12),(VLOOKUP(E67,'1. Configuration'!$A$13:$C$21,3,)),(IF((G67='1. Configuration'!$B$51),(VLOOKUP(E67,'1. Configuration'!$A$13:$C$21,2,)),""))),"")</f>
        <v/>
      </c>
      <c r="M67" s="73" t="n"/>
      <c r="N67" s="167" t="n"/>
    </row>
    <row r="68">
      <c r="A68" s="4">
        <f>IF(F68='1. Configuration'!$C$12,"",IF((G68='1. Configuration'!$C$51),(IF(D68&gt;0,(IF(COUNTIF($D$6:D67,D68)&gt;0,"",MAX($A$6:A67)+1)),"")),""))</f>
        <v/>
      </c>
      <c r="B68" s="4">
        <f t="array" ref="B68">IF((F68='1. Configuration'!$B$12),(IF(D68&gt;0,(IF(COUNTIF($D$6:D67,D68)&gt;0,"",MAX($B$6:B67)+1)),"")),"")</f>
        <v/>
      </c>
      <c r="C68" s="4">
        <f>D68&amp;C$61</f>
        <v/>
      </c>
      <c r="D68" s="71" t="n"/>
      <c r="E68" s="135" t="n"/>
      <c r="F68" s="143">
        <f t="array" ref="F68">IFERROR(IF(INDEX('2. Collaborateurs·trices'!$A$6:$M$40,(MATCH('3. Prestations'!D68,'2. Collaborateurs·trices'!$C$6:$C$40,0)),8)=0,'1. Configuration'!$B$12,INDEX('2. Collaborateurs·trices'!$A$6:$M$40,(MATCH('3. Prestations'!D68,'2. Collaborateurs·trices'!$C$6:$C$40,0)),8)),"")</f>
        <v/>
      </c>
      <c r="G68" s="140">
        <f t="array" ref="G68">IFERROR(IF((INDEX('2. Collaborateurs·trices'!$A$6:$M$40,(MATCH('3. Prestations'!D68,'2. Collaborateurs·trices'!$C$6:$C$40,0)),10)=0),'1. Configuration'!$C$51,INDEX('2. Collaborateurs·trices'!$A$6:$M$40,(MATCH('3. Prestations'!D68,'2. Collaborateurs·trices'!$C$6:$C$40,0)),10)),IF(E68="","",'1. Configuration'!$C$51))</f>
        <v/>
      </c>
      <c r="H68" s="57">
        <f t="array" ref="H68">IFERROR(IF(AND(F68='1. Configuration'!$B$12,G68='1. Configuration'!$C$51),IF((F68='1. Configuration'!$B$12),(VLOOKUP(E68,'1. Configuration'!$A$13:$C$21,2,)),""),""),"")</f>
        <v/>
      </c>
      <c r="I68" s="53" t="n"/>
      <c r="J68" s="54" t="n"/>
      <c r="K68" s="55" t="n"/>
      <c r="L68" s="58">
        <f t="array" ref="L68">IFERROR(IF((F68='1. Configuration'!$C$12),(VLOOKUP(E68,'1. Configuration'!$A$13:$C$21,3,)),(IF((G68='1. Configuration'!$B$51),(VLOOKUP(E68,'1. Configuration'!$A$13:$C$21,2,)),""))),"")</f>
        <v/>
      </c>
      <c r="M68" s="73" t="n"/>
      <c r="N68" s="167" t="n"/>
    </row>
    <row r="69" ht="15" customHeight="1" thickBot="1">
      <c r="A69" s="4">
        <f>IF(F69='1. Configuration'!$C$12,"",IF((G69='1. Configuration'!$C$51),(IF(D69&gt;0,(IF(COUNTIF($D$6:D68,D69)&gt;0,"",MAX($A$6:A68)+1)),"")),""))</f>
        <v/>
      </c>
      <c r="B69" s="4">
        <f t="array" ref="B69">IF((F69='1. Configuration'!$B$12),(IF(D69&gt;0,(IF(COUNTIF($D$6:D68,D69)&gt;0,"",MAX($B$6:B68)+1)),"")),"")</f>
        <v/>
      </c>
      <c r="C69" s="4">
        <f>D69&amp;C$61</f>
        <v/>
      </c>
      <c r="D69" s="72" t="n"/>
      <c r="E69" s="136" t="n"/>
      <c r="F69" s="145">
        <f t="array" ref="F69">IFERROR(IF(INDEX('2. Collaborateurs·trices'!$A$6:$M$40,(MATCH('3. Prestations'!D69,'2. Collaborateurs·trices'!$C$6:$C$40,0)),8)=0,'1. Configuration'!$B$12,INDEX('2. Collaborateurs·trices'!$A$6:$M$40,(MATCH('3. Prestations'!D69,'2. Collaborateurs·trices'!$C$6:$C$40,0)),8)),"")</f>
        <v/>
      </c>
      <c r="G69" s="141">
        <f t="array" ref="G69">IFERROR(IF((INDEX('2. Collaborateurs·trices'!$A$6:$M$40,(MATCH('3. Prestations'!D69,'2. Collaborateurs·trices'!$C$6:$C$40,0)),10)=0),'1. Configuration'!$C$51,INDEX('2. Collaborateurs·trices'!$A$6:$M$40,(MATCH('3. Prestations'!D69,'2. Collaborateurs·trices'!$C$6:$C$40,0)),10)),IF(E69="","",'1. Configuration'!$C$51))</f>
        <v/>
      </c>
      <c r="H69" s="59">
        <f t="array" ref="H69">IFERROR(IF(AND(F69='1. Configuration'!$B$12,G69='1. Configuration'!$C$51),IF((F69='1. Configuration'!$B$12),(VLOOKUP(E69,'1. Configuration'!$A$13:$C$21,2,)),""),""),"")</f>
        <v/>
      </c>
      <c r="I69" s="60" t="n"/>
      <c r="J69" s="61" t="n"/>
      <c r="K69" s="62" t="n"/>
      <c r="L69" s="63">
        <f t="array" ref="L69">IFERROR(IF((F69='1. Configuration'!$C$12),(VLOOKUP(E69,'1. Configuration'!$A$13:$C$21,3,)),(IF((G69='1. Configuration'!$B$51),(VLOOKUP(E69,'1. Configuration'!$A$13:$C$21,2,)),""))),"")</f>
        <v/>
      </c>
      <c r="M69" s="74" t="n"/>
      <c r="N69" s="168" t="n"/>
    </row>
    <row r="70" ht="15" customHeight="1" thickBot="1">
      <c r="A70" s="4">
        <f>IF(F70='1. Configuration'!$C$12,"",IF((G70='1. Configuration'!$C$51),(IF(D70&gt;0,(IF(COUNTIF($D$6:D69,D70)&gt;0,"",MAX($A$6:A69)+1)),"")),""))</f>
        <v/>
      </c>
      <c r="B70" s="4">
        <f t="array" ref="B70">IF((F70='1. Configuration'!$B$12),(IF(D70&gt;0,(IF(COUNTIF($D$6:D69,D70)&gt;0,"",MAX($B$6:B69)+1)),"")),"")</f>
        <v/>
      </c>
    </row>
    <row r="71">
      <c r="A71" s="4">
        <f>IF(F71='1. Configuration'!$C$12,"",IF((G71='1. Configuration'!$C$51),(IF(D71&gt;0,(IF(COUNTIF($D$6:D70,D71)&gt;0,"",MAX($A$6:A70)+1)),"")),""))</f>
        <v/>
      </c>
      <c r="B71" s="4">
        <f t="array" ref="B71">IF((F71='1. Configuration'!$B$12),(IF(D71&gt;0,(IF(COUNTIF($D$6:D70,D71)&gt;0,"",MAX($B$6:B70)+1)),"")),"")</f>
        <v/>
      </c>
      <c r="D71" s="117">
        <f>TEXT(DAY('1. Configuration'!B30),"00")&amp;"."&amp;TEXT(MONTH('1. Configuration'!B30),"00")&amp;"."&amp;TEXT(YEAR('1. Configuration'!B30),"00")&amp;" | "&amp;'1. Configuration'!A30</f>
        <v/>
      </c>
      <c r="E71" s="118" t="n"/>
      <c r="F71" s="118" t="n"/>
      <c r="G71" s="119" t="n"/>
      <c r="H71" s="122">
        <f>$H$5</f>
        <v/>
      </c>
      <c r="I71" s="120" t="n"/>
      <c r="J71" s="120" t="n"/>
      <c r="K71" s="120" t="n"/>
      <c r="L71" s="120">
        <f>$L$5</f>
        <v/>
      </c>
      <c r="M71" s="121" t="n"/>
      <c r="N71" s="165" t="n"/>
    </row>
    <row r="72" ht="15" customHeight="1" thickBot="1">
      <c r="A72" s="4">
        <f>IF(F72='1. Configuration'!$C$12,"",IF((G72='1. Configuration'!$C$51),(IF(D72&gt;0,(IF(COUNTIF($D$6:D71,D72)&gt;0,"",MAX($A$6:A71)+1)),"")),""))</f>
        <v/>
      </c>
      <c r="B72" s="4">
        <f t="array" ref="B72">IF((F72='1. Configuration'!$B$12),(IF(D72&gt;0,(IF(COUNTIF($D$6:D71,D72)&gt;0,"",MAX($B$6:B71)+1)),"")),"")</f>
        <v/>
      </c>
      <c r="C72" s="51">
        <f>'1. Configuration'!B30</f>
        <v/>
      </c>
      <c r="D72" s="123">
        <f>$D$6</f>
        <v/>
      </c>
      <c r="E72" s="124">
        <f>$E$6</f>
        <v/>
      </c>
      <c r="F72" s="124">
        <f>$F$6</f>
        <v/>
      </c>
      <c r="G72" s="125">
        <f>$G$6</f>
        <v/>
      </c>
      <c r="H72" s="126">
        <f>$H$6</f>
        <v/>
      </c>
      <c r="I72" s="124" t="n"/>
      <c r="J72" s="124" t="n"/>
      <c r="K72" s="124" t="n"/>
      <c r="L72" s="124" t="inlineStr">
        <is>
          <t>Cachet</t>
        </is>
      </c>
      <c r="M72" s="127">
        <f>$M$6</f>
        <v/>
      </c>
      <c r="N72" s="162" t="n"/>
    </row>
    <row r="73">
      <c r="A73" s="4">
        <f>IF(F73='1. Configuration'!$C$12,"",IF((G73='1. Configuration'!$C$51),(IF(D73&gt;0,(IF(COUNTIF($D$6:D72,D73)&gt;0,"",MAX($A$6:A72)+1)),"")),""))</f>
        <v/>
      </c>
      <c r="B73" s="4">
        <f t="array" ref="B73">IF((F73='1. Configuration'!$B$12),(IF(D73&gt;0,(IF(COUNTIF($D$6:D72,D73)&gt;0,"",MAX($B$6:B72)+1)),"")),"")</f>
        <v/>
      </c>
      <c r="C73" s="4">
        <f>D73&amp;C$72</f>
        <v/>
      </c>
      <c r="D73" s="70" t="n"/>
      <c r="E73" s="134" t="n"/>
      <c r="F73" s="144">
        <f t="array" ref="F73">IFERROR(IF(INDEX('2. Collaborateurs·trices'!$A$6:$M$40,(MATCH('3. Prestations'!D73,'2. Collaborateurs·trices'!$C$6:$C$40,0)),8)=0,'1. Configuration'!$B$12,INDEX('2. Collaborateurs·trices'!$A$6:$M$40,(MATCH('3. Prestations'!D73,'2. Collaborateurs·trices'!$C$6:$C$40,0)),8)),'1. Configuration'!$B$12)</f>
        <v/>
      </c>
      <c r="G73" s="139">
        <f t="array" ref="G73">IFERROR(IF((INDEX('2. Collaborateurs·trices'!$A$6:$M$40,(MATCH('3. Prestations'!D73,'2. Collaborateurs·trices'!$C$6:$C$40,0)),10)=0),'1. Configuration'!$C$51,INDEX('2. Collaborateurs·trices'!$A$6:$M$40,(MATCH('3. Prestations'!D73,'2. Collaborateurs·trices'!$C$6:$C$40,0)),10)),IF(E73="","",'1. Configuration'!$C$51))</f>
        <v/>
      </c>
      <c r="H73" s="52">
        <f t="array" ref="H73">IFERROR(IF(AND(F73='1. Configuration'!$B$12,G73='1. Configuration'!$C$51),IF((F73='1. Configuration'!$B$12),(VLOOKUP(E73,'1. Configuration'!$A$13:$C$21,2,)),""),""),"")</f>
        <v/>
      </c>
      <c r="I73" s="53" t="n"/>
      <c r="J73" s="54" t="n"/>
      <c r="K73" s="55" t="n"/>
      <c r="L73" s="56">
        <f t="array" ref="L73">IFERROR(IF((F73='1. Configuration'!$C$12),(VLOOKUP(E73,'1. Configuration'!$A$13:$C$21,3,)),(IF((G73='1. Configuration'!$B$51),(VLOOKUP(E73,'1. Configuration'!$A$13:$C$21,2,)),""))),"")</f>
        <v/>
      </c>
      <c r="M73" s="73" t="n"/>
      <c r="N73" s="166" t="n"/>
    </row>
    <row r="74">
      <c r="A74" s="4">
        <f>IF(F74='1. Configuration'!$C$12,"",IF((G74='1. Configuration'!$C$51),(IF(D74&gt;0,(IF(COUNTIF($D$6:D73,D74)&gt;0,"",MAX($A$6:A73)+1)),"")),""))</f>
        <v/>
      </c>
      <c r="B74" s="4">
        <f t="array" ref="B74">IF((F74='1. Configuration'!$B$12),(IF(D74&gt;0,(IF(COUNTIF($D$6:D73,D74)&gt;0,"",MAX($B$6:B73)+1)),"")),"")</f>
        <v/>
      </c>
      <c r="C74" s="4">
        <f>D74&amp;C$72</f>
        <v/>
      </c>
      <c r="D74" s="71" t="n"/>
      <c r="E74" s="135" t="n"/>
      <c r="F74" s="143">
        <f t="array" ref="F74">IFERROR(IF(INDEX('2. Collaborateurs·trices'!$A$6:$M$40,(MATCH('3. Prestations'!D74,'2. Collaborateurs·trices'!$C$6:$C$40,0)),8)=0,'1. Configuration'!$B$12,INDEX('2. Collaborateurs·trices'!$A$6:$M$40,(MATCH('3. Prestations'!D74,'2. Collaborateurs·trices'!$C$6:$C$40,0)),8)),'1. Configuration'!$B$12)</f>
        <v/>
      </c>
      <c r="G74" s="140">
        <f t="array" ref="G74">IFERROR(IF((INDEX('2. Collaborateurs·trices'!$A$6:$M$40,(MATCH('3. Prestations'!D74,'2. Collaborateurs·trices'!$C$6:$C$40,0)),10)=0),'1. Configuration'!$C$51,INDEX('2. Collaborateurs·trices'!$A$6:$M$40,(MATCH('3. Prestations'!D74,'2. Collaborateurs·trices'!$C$6:$C$40,0)),10)),IF(E74="","",'1. Configuration'!$C$51))</f>
        <v/>
      </c>
      <c r="H74" s="57">
        <f t="array" ref="H74">IFERROR(IF(AND(F74='1. Configuration'!$B$12,G74='1. Configuration'!$C$51),IF((F74='1. Configuration'!$B$12),(VLOOKUP(E74,'1. Configuration'!$A$13:$C$21,2,)),""),""),"")</f>
        <v/>
      </c>
      <c r="I74" s="53" t="n"/>
      <c r="J74" s="54" t="n"/>
      <c r="K74" s="55" t="n"/>
      <c r="L74" s="58">
        <f t="array" ref="L74">IFERROR(IF((F74='1. Configuration'!$C$12),(VLOOKUP(E74,'1. Configuration'!$A$13:$C$21,3,)),(IF((G74='1. Configuration'!$B$51),(VLOOKUP(E74,'1. Configuration'!$A$13:$C$21,2,)),""))),"")</f>
        <v/>
      </c>
      <c r="M74" s="73" t="n"/>
      <c r="N74" s="167" t="n"/>
    </row>
    <row r="75">
      <c r="A75" s="4">
        <f>IF(F75='1. Configuration'!$C$12,"",IF((G75='1. Configuration'!$C$51),(IF(D75&gt;0,(IF(COUNTIF($D$6:D74,D75)&gt;0,"",MAX($A$6:A74)+1)),"")),""))</f>
        <v/>
      </c>
      <c r="B75" s="4">
        <f t="array" ref="B75">IF((F75='1. Configuration'!$B$12),(IF(D75&gt;0,(IF(COUNTIF($D$6:D74,D75)&gt;0,"",MAX($B$6:B74)+1)),"")),"")</f>
        <v/>
      </c>
      <c r="C75" s="4">
        <f>D75&amp;C$72</f>
        <v/>
      </c>
      <c r="D75" s="71" t="n"/>
      <c r="E75" s="135" t="n"/>
      <c r="F75" s="143">
        <f t="array" ref="F75">IFERROR(IF(INDEX('2. Collaborateurs·trices'!$A$6:$M$40,(MATCH('3. Prestations'!D75,'2. Collaborateurs·trices'!$C$6:$C$40,0)),8)=0,'1. Configuration'!$B$12,INDEX('2. Collaborateurs·trices'!$A$6:$M$40,(MATCH('3. Prestations'!D75,'2. Collaborateurs·trices'!$C$6:$C$40,0)),8)),'1. Configuration'!$B$12)</f>
        <v/>
      </c>
      <c r="G75" s="140">
        <f t="array" ref="G75">IFERROR(IF((INDEX('2. Collaborateurs·trices'!$A$6:$M$40,(MATCH('3. Prestations'!D75,'2. Collaborateurs·trices'!$C$6:$C$40,0)),10)=0),'1. Configuration'!$C$51,INDEX('2. Collaborateurs·trices'!$A$6:$M$40,(MATCH('3. Prestations'!D75,'2. Collaborateurs·trices'!$C$6:$C$40,0)),10)),IF(E75="","",'1. Configuration'!$C$51))</f>
        <v/>
      </c>
      <c r="H75" s="57">
        <f t="array" ref="H75">IFERROR(IF(AND(F75='1. Configuration'!$B$12,G75='1. Configuration'!$C$51),IF((F75='1. Configuration'!$B$12),(VLOOKUP(E75,'1. Configuration'!$A$13:$C$21,2,)),""),""),"")</f>
        <v/>
      </c>
      <c r="I75" s="53" t="n"/>
      <c r="J75" s="54" t="n"/>
      <c r="K75" s="55" t="n"/>
      <c r="L75" s="58">
        <f t="array" ref="L75">IFERROR(IF((F75='1. Configuration'!$C$12),(VLOOKUP(E75,'1. Configuration'!$A$13:$C$21,3,)),(IF((G75='1. Configuration'!$B$51),(VLOOKUP(E75,'1. Configuration'!$A$13:$C$21,2,)),""))),"")</f>
        <v/>
      </c>
      <c r="M75" s="73" t="n"/>
      <c r="N75" s="167" t="n"/>
    </row>
    <row r="76">
      <c r="A76" s="4">
        <f>IF(F76='1. Configuration'!$C$12,"",IF((G76='1. Configuration'!$C$51),(IF(D76&gt;0,(IF(COUNTIF($D$6:D75,D76)&gt;0,"",MAX($A$6:A75)+1)),"")),""))</f>
        <v/>
      </c>
      <c r="B76" s="4">
        <f t="array" ref="B76">IF((F76='1. Configuration'!$B$12),(IF(D76&gt;0,(IF(COUNTIF($D$6:D75,D76)&gt;0,"",MAX($B$6:B75)+1)),"")),"")</f>
        <v/>
      </c>
      <c r="C76" s="4">
        <f>D76&amp;C$72</f>
        <v/>
      </c>
      <c r="D76" s="71" t="n"/>
      <c r="E76" s="135" t="n"/>
      <c r="F76" s="143">
        <f t="array" ref="F76">IFERROR(IF(INDEX('2. Collaborateurs·trices'!$A$6:$M$40,(MATCH('3. Prestations'!D76,'2. Collaborateurs·trices'!$C$6:$C$40,0)),8)=0,'1. Configuration'!$B$12,INDEX('2. Collaborateurs·trices'!$A$6:$M$40,(MATCH('3. Prestations'!D76,'2. Collaborateurs·trices'!$C$6:$C$40,0)),8)),"")</f>
        <v/>
      </c>
      <c r="G76" s="140">
        <f t="array" ref="G76">IFERROR(IF((INDEX('2. Collaborateurs·trices'!$A$6:$M$40,(MATCH('3. Prestations'!D76,'2. Collaborateurs·trices'!$C$6:$C$40,0)),10)=0),'1. Configuration'!$C$51,INDEX('2. Collaborateurs·trices'!$A$6:$M$40,(MATCH('3. Prestations'!D76,'2. Collaborateurs·trices'!$C$6:$C$40,0)),10)),IF(E76="","",'1. Configuration'!$C$51))</f>
        <v/>
      </c>
      <c r="H76" s="57">
        <f t="array" ref="H76">IFERROR(IF(AND(F76='1. Configuration'!$B$12,G76='1. Configuration'!$C$51),IF((F76='1. Configuration'!$B$12),(VLOOKUP(E76,'1. Configuration'!$A$13:$C$21,2,)),""),""),"")</f>
        <v/>
      </c>
      <c r="I76" s="53" t="n"/>
      <c r="J76" s="54" t="n"/>
      <c r="K76" s="55" t="n"/>
      <c r="L76" s="58">
        <f t="array" ref="L76">IFERROR(IF((F76='1. Configuration'!$C$12),(VLOOKUP(E76,'1. Configuration'!$A$13:$C$21,3,)),(IF((G76='1. Configuration'!$B$51),(VLOOKUP(E76,'1. Configuration'!$A$13:$C$21,2,)),""))),"")</f>
        <v/>
      </c>
      <c r="M76" s="73" t="n"/>
      <c r="N76" s="167" t="n"/>
    </row>
    <row r="77">
      <c r="A77" s="4">
        <f>IF(F77='1. Configuration'!$C$12,"",IF((G77='1. Configuration'!$C$51),(IF(D77&gt;0,(IF(COUNTIF($D$6:D76,D77)&gt;0,"",MAX($A$6:A76)+1)),"")),""))</f>
        <v/>
      </c>
      <c r="B77" s="4">
        <f t="array" ref="B77">IF((F77='1. Configuration'!$B$12),(IF(D77&gt;0,(IF(COUNTIF($D$6:D76,D77)&gt;0,"",MAX($B$6:B76)+1)),"")),"")</f>
        <v/>
      </c>
      <c r="C77" s="4">
        <f>D77&amp;C$72</f>
        <v/>
      </c>
      <c r="D77" s="71" t="n"/>
      <c r="E77" s="135" t="n"/>
      <c r="F77" s="143">
        <f t="array" ref="F77">IFERROR(IF(INDEX('2. Collaborateurs·trices'!$A$6:$M$40,(MATCH('3. Prestations'!D77,'2. Collaborateurs·trices'!$C$6:$C$40,0)),8)=0,'1. Configuration'!$B$12,INDEX('2. Collaborateurs·trices'!$A$6:$M$40,(MATCH('3. Prestations'!D77,'2. Collaborateurs·trices'!$C$6:$C$40,0)),8)),"")</f>
        <v/>
      </c>
      <c r="G77" s="140">
        <f t="array" ref="G77">IFERROR(IF((INDEX('2. Collaborateurs·trices'!$A$6:$M$40,(MATCH('3. Prestations'!D77,'2. Collaborateurs·trices'!$C$6:$C$40,0)),10)=0),'1. Configuration'!$C$51,INDEX('2. Collaborateurs·trices'!$A$6:$M$40,(MATCH('3. Prestations'!D77,'2. Collaborateurs·trices'!$C$6:$C$40,0)),10)),IF(E77="","",'1. Configuration'!$C$51))</f>
        <v/>
      </c>
      <c r="H77" s="57">
        <f t="array" ref="H77">IFERROR(IF(AND(F77='1. Configuration'!$B$12,G77='1. Configuration'!$C$51),IF((F77='1. Configuration'!$B$12),(VLOOKUP(E77,'1. Configuration'!$A$13:$C$21,2,)),""),""),"")</f>
        <v/>
      </c>
      <c r="I77" s="53" t="n"/>
      <c r="J77" s="54" t="n"/>
      <c r="K77" s="55" t="n"/>
      <c r="L77" s="58">
        <f t="array" ref="L77">IFERROR(IF((F77='1. Configuration'!$C$12),(VLOOKUP(E77,'1. Configuration'!$A$13:$C$21,3,)),(IF((G77='1. Configuration'!$B$51),(VLOOKUP(E77,'1. Configuration'!$A$13:$C$21,2,)),""))),"")</f>
        <v/>
      </c>
      <c r="M77" s="73" t="n"/>
      <c r="N77" s="167" t="n"/>
    </row>
    <row r="78">
      <c r="A78" s="4">
        <f>IF(F78='1. Configuration'!$C$12,"",IF((G78='1. Configuration'!$C$51),(IF(D78&gt;0,(IF(COUNTIF($D$6:D77,D78)&gt;0,"",MAX($A$6:A77)+1)),"")),""))</f>
        <v/>
      </c>
      <c r="B78" s="4">
        <f t="array" ref="B78">IF((F78='1. Configuration'!$B$12),(IF(D78&gt;0,(IF(COUNTIF($D$6:D77,D78)&gt;0,"",MAX($B$6:B77)+1)),"")),"")</f>
        <v/>
      </c>
      <c r="C78" s="4">
        <f>D78&amp;C$72</f>
        <v/>
      </c>
      <c r="D78" s="71" t="n"/>
      <c r="E78" s="135" t="n"/>
      <c r="F78" s="143">
        <f t="array" ref="F78">IFERROR(IF(INDEX('2. Collaborateurs·trices'!$A$6:$M$40,(MATCH('3. Prestations'!D78,'2. Collaborateurs·trices'!$C$6:$C$40,0)),8)=0,'1. Configuration'!$B$12,INDEX('2. Collaborateurs·trices'!$A$6:$M$40,(MATCH('3. Prestations'!D78,'2. Collaborateurs·trices'!$C$6:$C$40,0)),8)),"")</f>
        <v/>
      </c>
      <c r="G78" s="140">
        <f t="array" ref="G78">IFERROR(IF((INDEX('2. Collaborateurs·trices'!$A$6:$M$40,(MATCH('3. Prestations'!D78,'2. Collaborateurs·trices'!$C$6:$C$40,0)),10)=0),'1. Configuration'!$C$51,INDEX('2. Collaborateurs·trices'!$A$6:$M$40,(MATCH('3. Prestations'!D78,'2. Collaborateurs·trices'!$C$6:$C$40,0)),10)),IF(E78="","",'1. Configuration'!$C$51))</f>
        <v/>
      </c>
      <c r="H78" s="57">
        <f t="array" ref="H78">IFERROR(IF(AND(F78='1. Configuration'!$B$12,G78='1. Configuration'!$C$51),IF((F78='1. Configuration'!$B$12),(VLOOKUP(E78,'1. Configuration'!$A$13:$C$21,2,)),""),""),"")</f>
        <v/>
      </c>
      <c r="I78" s="53" t="n"/>
      <c r="J78" s="54" t="n"/>
      <c r="K78" s="55" t="n"/>
      <c r="L78" s="58">
        <f t="array" ref="L78">IFERROR(IF((F78='1. Configuration'!$C$12),(VLOOKUP(E78,'1. Configuration'!$A$13:$C$21,3,)),(IF((G78='1. Configuration'!$B$51),(VLOOKUP(E78,'1. Configuration'!$A$13:$C$21,2,)),""))),"")</f>
        <v/>
      </c>
      <c r="M78" s="73" t="n"/>
      <c r="N78" s="167" t="n"/>
    </row>
    <row r="79">
      <c r="A79" s="4">
        <f>IF(F79='1. Configuration'!$C$12,"",IF((G79='1. Configuration'!$C$51),(IF(D79&gt;0,(IF(COUNTIF($D$6:D78,D79)&gt;0,"",MAX($A$6:A78)+1)),"")),""))</f>
        <v/>
      </c>
      <c r="B79" s="4">
        <f t="array" ref="B79">IF((F79='1. Configuration'!$B$12),(IF(D79&gt;0,(IF(COUNTIF($D$6:D78,D79)&gt;0,"",MAX($B$6:B78)+1)),"")),"")</f>
        <v/>
      </c>
      <c r="C79" s="4">
        <f>D79&amp;C$72</f>
        <v/>
      </c>
      <c r="D79" s="71" t="n"/>
      <c r="E79" s="135" t="n"/>
      <c r="F79" s="143">
        <f t="array" ref="F79">IFERROR(IF(INDEX('2. Collaborateurs·trices'!$A$6:$M$40,(MATCH('3. Prestations'!D79,'2. Collaborateurs·trices'!$C$6:$C$40,0)),8)=0,'1. Configuration'!$B$12,INDEX('2. Collaborateurs·trices'!$A$6:$M$40,(MATCH('3. Prestations'!D79,'2. Collaborateurs·trices'!$C$6:$C$40,0)),8)),"")</f>
        <v/>
      </c>
      <c r="G79" s="140">
        <f t="array" ref="G79">IFERROR(IF((INDEX('2. Collaborateurs·trices'!$A$6:$M$40,(MATCH('3. Prestations'!D79,'2. Collaborateurs·trices'!$C$6:$C$40,0)),10)=0),'1. Configuration'!$C$51,INDEX('2. Collaborateurs·trices'!$A$6:$M$40,(MATCH('3. Prestations'!D79,'2. Collaborateurs·trices'!$C$6:$C$40,0)),10)),IF(E79="","",'1. Configuration'!$C$51))</f>
        <v/>
      </c>
      <c r="H79" s="57">
        <f t="array" ref="H79">IFERROR(IF(AND(F79='1. Configuration'!$B$12,G79='1. Configuration'!$C$51),IF((F79='1. Configuration'!$B$12),(VLOOKUP(E79,'1. Configuration'!$A$13:$C$21,2,)),""),""),"")</f>
        <v/>
      </c>
      <c r="I79" s="53" t="n"/>
      <c r="J79" s="54" t="n"/>
      <c r="K79" s="55" t="n"/>
      <c r="L79" s="58">
        <f t="array" ref="L79">IFERROR(IF((F79='1. Configuration'!$C$12),(VLOOKUP(E79,'1. Configuration'!$A$13:$C$21,3,)),(IF((G79='1. Configuration'!$B$51),(VLOOKUP(E79,'1. Configuration'!$A$13:$C$21,2,)),""))),"")</f>
        <v/>
      </c>
      <c r="M79" s="73" t="n"/>
      <c r="N79" s="167" t="n"/>
    </row>
    <row r="80" ht="15" customHeight="1" thickBot="1">
      <c r="A80" s="4">
        <f>IF(F80='1. Configuration'!$C$12,"",IF((G80='1. Configuration'!$C$51),(IF(D80&gt;0,(IF(COUNTIF($D$6:D79,D80)&gt;0,"",MAX($A$6:A79)+1)),"")),""))</f>
        <v/>
      </c>
      <c r="B80" s="4">
        <f t="array" ref="B80">IF((F80='1. Configuration'!$B$12),(IF(D80&gt;0,(IF(COUNTIF($D$6:D79,D80)&gt;0,"",MAX($B$6:B79)+1)),"")),"")</f>
        <v/>
      </c>
      <c r="C80" s="4">
        <f>D80&amp;C$72</f>
        <v/>
      </c>
      <c r="D80" s="72" t="n"/>
      <c r="E80" s="136" t="n"/>
      <c r="F80" s="145">
        <f t="array" ref="F80">IFERROR(IF(INDEX('2. Collaborateurs·trices'!$A$6:$M$40,(MATCH('3. Prestations'!D80,'2. Collaborateurs·trices'!$C$6:$C$40,0)),8)=0,'1. Configuration'!$B$12,INDEX('2. Collaborateurs·trices'!$A$6:$M$40,(MATCH('3. Prestations'!D80,'2. Collaborateurs·trices'!$C$6:$C$40,0)),8)),"")</f>
        <v/>
      </c>
      <c r="G80" s="141">
        <f t="array" ref="G80">IFERROR(IF((INDEX('2. Collaborateurs·trices'!$A$6:$M$40,(MATCH('3. Prestations'!D80,'2. Collaborateurs·trices'!$C$6:$C$40,0)),10)=0),'1. Configuration'!$C$51,INDEX('2. Collaborateurs·trices'!$A$6:$M$40,(MATCH('3. Prestations'!D80,'2. Collaborateurs·trices'!$C$6:$C$40,0)),10)),IF(E80="","",'1. Configuration'!$C$51))</f>
        <v/>
      </c>
      <c r="H80" s="59">
        <f t="array" ref="H80">IFERROR(IF(AND(F80='1. Configuration'!$B$12,G80='1. Configuration'!$C$51),IF((F80='1. Configuration'!$B$12),(VLOOKUP(E80,'1. Configuration'!$A$13:$C$21,2,)),""),""),"")</f>
        <v/>
      </c>
      <c r="I80" s="60" t="n"/>
      <c r="J80" s="61" t="n"/>
      <c r="K80" s="62" t="n"/>
      <c r="L80" s="63">
        <f t="array" ref="L80">IFERROR(IF((F80='1. Configuration'!$C$12),(VLOOKUP(E80,'1. Configuration'!$A$13:$C$21,3,)),(IF((G80='1. Configuration'!$B$51),(VLOOKUP(E80,'1. Configuration'!$A$13:$C$21,2,)),""))),"")</f>
        <v/>
      </c>
      <c r="M80" s="74" t="n"/>
      <c r="N80" s="168" t="n"/>
    </row>
    <row r="81" ht="15" customHeight="1" thickBot="1">
      <c r="A81" s="4">
        <f>IF(F81='1. Configuration'!$C$12,"",IF((G81='1. Configuration'!$C$51),(IF(D81&gt;0,(IF(COUNTIF($D$6:D80,D81)&gt;0,"",MAX($A$6:A80)+1)),"")),""))</f>
        <v/>
      </c>
      <c r="B81" s="4">
        <f t="array" ref="B81">IF((F81='1. Configuration'!$B$12),(IF(D81&gt;0,(IF(COUNTIF($D$6:D80,D81)&gt;0,"",MAX($B$6:B80)+1)),"")),"")</f>
        <v/>
      </c>
    </row>
    <row r="82">
      <c r="A82" s="4">
        <f>IF(F82='1. Configuration'!$C$12,"",IF((G82='1. Configuration'!$C$51),(IF(D82&gt;0,(IF(COUNTIF($D$6:D81,D82)&gt;0,"",MAX($A$6:A81)+1)),"")),""))</f>
        <v/>
      </c>
      <c r="B82" s="4">
        <f t="array" ref="B82">IF((F82='1. Configuration'!$B$12),(IF(D82&gt;0,(IF(COUNTIF($D$6:D81,D82)&gt;0,"",MAX($B$6:B81)+1)),"")),"")</f>
        <v/>
      </c>
      <c r="D82" s="117">
        <f>TEXT(DAY('1. Configuration'!B31),"00")&amp;"."&amp;TEXT(MONTH('1. Configuration'!B31),"00")&amp;"."&amp;TEXT(YEAR('1. Configuration'!B31),"00")&amp;" | "&amp;'1. Configuration'!A31</f>
        <v/>
      </c>
      <c r="E82" s="118" t="n"/>
      <c r="F82" s="118" t="n"/>
      <c r="G82" s="119" t="n"/>
      <c r="H82" s="122">
        <f>$H$5</f>
        <v/>
      </c>
      <c r="I82" s="120" t="n"/>
      <c r="J82" s="120" t="n"/>
      <c r="K82" s="120" t="n"/>
      <c r="L82" s="120">
        <f>$L$5</f>
        <v/>
      </c>
      <c r="M82" s="121" t="n"/>
      <c r="N82" s="165" t="n"/>
    </row>
    <row r="83" ht="15" customHeight="1" thickBot="1">
      <c r="A83" s="4">
        <f>IF(F83='1. Configuration'!$C$12,"",IF((G83='1. Configuration'!$C$51),(IF(D83&gt;0,(IF(COUNTIF($D$6:D82,D83)&gt;0,"",MAX($A$6:A82)+1)),"")),""))</f>
        <v/>
      </c>
      <c r="B83" s="4">
        <f t="array" ref="B83">IF((F83='1. Configuration'!$B$12),(IF(D83&gt;0,(IF(COUNTIF($D$6:D82,D83)&gt;0,"",MAX($B$6:B82)+1)),"")),"")</f>
        <v/>
      </c>
      <c r="C83" s="51">
        <f>'1. Configuration'!B31</f>
        <v/>
      </c>
      <c r="D83" s="123">
        <f>$D$6</f>
        <v/>
      </c>
      <c r="E83" s="124">
        <f>$E$6</f>
        <v/>
      </c>
      <c r="F83" s="124">
        <f>$F$6</f>
        <v/>
      </c>
      <c r="G83" s="125">
        <f>$G$6</f>
        <v/>
      </c>
      <c r="H83" s="126">
        <f>$H$6</f>
        <v/>
      </c>
      <c r="I83" s="124" t="n"/>
      <c r="J83" s="124" t="n"/>
      <c r="K83" s="124" t="n"/>
      <c r="L83" s="124" t="inlineStr">
        <is>
          <t>Cachet</t>
        </is>
      </c>
      <c r="M83" s="127">
        <f>$M$6</f>
        <v/>
      </c>
      <c r="N83" s="162" t="n"/>
    </row>
    <row r="84">
      <c r="A84" s="4">
        <f>IF(F84='1. Configuration'!$C$12,"",IF((G84='1. Configuration'!$C$51),(IF(D84&gt;0,(IF(COUNTIF($D$6:D83,D84)&gt;0,"",MAX($A$6:A83)+1)),"")),""))</f>
        <v/>
      </c>
      <c r="B84" s="4">
        <f t="array" ref="B84">IF((F84='1. Configuration'!$B$12),(IF(D84&gt;0,(IF(COUNTIF($D$6:D83,D84)&gt;0,"",MAX($B$6:B83)+1)),"")),"")</f>
        <v/>
      </c>
      <c r="C84" s="4">
        <f>D84&amp;C$83</f>
        <v/>
      </c>
      <c r="D84" s="70" t="n"/>
      <c r="E84" s="134" t="n"/>
      <c r="F84" s="144">
        <f t="array" ref="F84">IFERROR(IF(INDEX('2. Collaborateurs·trices'!$A$6:$M$40,(MATCH('3. Prestations'!D84,'2. Collaborateurs·trices'!$C$6:$C$40,0)),8)=0,'1. Configuration'!$B$12,INDEX('2. Collaborateurs·trices'!$A$6:$M$40,(MATCH('3. Prestations'!D84,'2. Collaborateurs·trices'!$C$6:$C$40,0)),8)),'1. Configuration'!$B$12)</f>
        <v/>
      </c>
      <c r="G84" s="139">
        <f t="array" ref="G84">IFERROR(IF((INDEX('2. Collaborateurs·trices'!$A$6:$M$40,(MATCH('3. Prestations'!D84,'2. Collaborateurs·trices'!$C$6:$C$40,0)),10)=0),'1. Configuration'!$C$51,INDEX('2. Collaborateurs·trices'!$A$6:$M$40,(MATCH('3. Prestations'!D84,'2. Collaborateurs·trices'!$C$6:$C$40,0)),10)),IF(E84="","",'1. Configuration'!$C$51))</f>
        <v/>
      </c>
      <c r="H84" s="52">
        <f t="array" ref="H84">IFERROR(IF(AND(F84='1. Configuration'!$B$12,G84='1. Configuration'!$C$51),IF((F84='1. Configuration'!$B$12),(VLOOKUP(E84,'1. Configuration'!$A$13:$C$21,2,)),""),""),"")</f>
        <v/>
      </c>
      <c r="I84" s="53" t="n"/>
      <c r="J84" s="54" t="n"/>
      <c r="K84" s="55" t="n"/>
      <c r="L84" s="56">
        <f t="array" ref="L84">IFERROR(IF((F84='1. Configuration'!$C$12),(VLOOKUP(E84,'1. Configuration'!$A$13:$C$21,3,)),(IF((G84='1. Configuration'!$B$51),(VLOOKUP(E84,'1. Configuration'!$A$13:$C$21,2,)),""))),"")</f>
        <v/>
      </c>
      <c r="M84" s="73" t="n"/>
      <c r="N84" s="166" t="n"/>
    </row>
    <row r="85">
      <c r="A85" s="4">
        <f>IF(F85='1. Configuration'!$C$12,"",IF((G85='1. Configuration'!$C$51),(IF(D85&gt;0,(IF(COUNTIF($D$6:D84,D85)&gt;0,"",MAX($A$6:A84)+1)),"")),""))</f>
        <v/>
      </c>
      <c r="B85" s="4">
        <f t="array" ref="B85">IF((F85='1. Configuration'!$B$12),(IF(D85&gt;0,(IF(COUNTIF($D$6:D84,D85)&gt;0,"",MAX($B$6:B84)+1)),"")),"")</f>
        <v/>
      </c>
      <c r="C85" s="4">
        <f>D85&amp;C$83</f>
        <v/>
      </c>
      <c r="D85" s="71" t="n"/>
      <c r="E85" s="135" t="n"/>
      <c r="F85" s="143">
        <f t="array" ref="F85">IFERROR(IF(INDEX('2. Collaborateurs·trices'!$A$6:$M$40,(MATCH('3. Prestations'!D85,'2. Collaborateurs·trices'!$C$6:$C$40,0)),8)=0,'1. Configuration'!$B$12,INDEX('2. Collaborateurs·trices'!$A$6:$M$40,(MATCH('3. Prestations'!D85,'2. Collaborateurs·trices'!$C$6:$C$40,0)),8)),'1. Configuration'!$B$12)</f>
        <v/>
      </c>
      <c r="G85" s="140">
        <f t="array" ref="G85">IFERROR(IF((INDEX('2. Collaborateurs·trices'!$A$6:$M$40,(MATCH('3. Prestations'!D85,'2. Collaborateurs·trices'!$C$6:$C$40,0)),10)=0),'1. Configuration'!$C$51,INDEX('2. Collaborateurs·trices'!$A$6:$M$40,(MATCH('3. Prestations'!D85,'2. Collaborateurs·trices'!$C$6:$C$40,0)),10)),IF(E85="","",'1. Configuration'!$C$51))</f>
        <v/>
      </c>
      <c r="H85" s="57">
        <f t="array" ref="H85">IFERROR(IF(AND(F85='1. Configuration'!$B$12,G85='1. Configuration'!$C$51),IF((F85='1. Configuration'!$B$12),(VLOOKUP(E85,'1. Configuration'!$A$13:$C$21,2,)),""),""),"")</f>
        <v/>
      </c>
      <c r="I85" s="53" t="n"/>
      <c r="J85" s="54" t="n"/>
      <c r="K85" s="55" t="n"/>
      <c r="L85" s="58">
        <f t="array" ref="L85">IFERROR(IF((F85='1. Configuration'!$C$12),(VLOOKUP(E85,'1. Configuration'!$A$13:$C$21,3,)),(IF((G85='1. Configuration'!$B$51),(VLOOKUP(E85,'1. Configuration'!$A$13:$C$21,2,)),""))),"")</f>
        <v/>
      </c>
      <c r="M85" s="73" t="n"/>
      <c r="N85" s="167" t="n"/>
    </row>
    <row r="86">
      <c r="A86" s="4">
        <f>IF(F86='1. Configuration'!$C$12,"",IF((G86='1. Configuration'!$C$51),(IF(D86&gt;0,(IF(COUNTIF($D$6:D85,D86)&gt;0,"",MAX($A$6:A85)+1)),"")),""))</f>
        <v/>
      </c>
      <c r="B86" s="4">
        <f t="array" ref="B86">IF((F86='1. Configuration'!$B$12),(IF(D86&gt;0,(IF(COUNTIF($D$6:D85,D86)&gt;0,"",MAX($B$6:B85)+1)),"")),"")</f>
        <v/>
      </c>
      <c r="C86" s="4">
        <f>D86&amp;C$83</f>
        <v/>
      </c>
      <c r="D86" s="71" t="n"/>
      <c r="E86" s="135" t="n"/>
      <c r="F86" s="143">
        <f t="array" ref="F86">IFERROR(IF(INDEX('2. Collaborateurs·trices'!$A$6:$M$40,(MATCH('3. Prestations'!D86,'2. Collaborateurs·trices'!$C$6:$C$40,0)),8)=0,'1. Configuration'!$B$12,INDEX('2. Collaborateurs·trices'!$A$6:$M$40,(MATCH('3. Prestations'!D86,'2. Collaborateurs·trices'!$C$6:$C$40,0)),8)),'1. Configuration'!$B$12)</f>
        <v/>
      </c>
      <c r="G86" s="140">
        <f t="array" ref="G86">IFERROR(IF((INDEX('2. Collaborateurs·trices'!$A$6:$M$40,(MATCH('3. Prestations'!D86,'2. Collaborateurs·trices'!$C$6:$C$40,0)),10)=0),'1. Configuration'!$C$51,INDEX('2. Collaborateurs·trices'!$A$6:$M$40,(MATCH('3. Prestations'!D86,'2. Collaborateurs·trices'!$C$6:$C$40,0)),10)),IF(E86="","",'1. Configuration'!$C$51))</f>
        <v/>
      </c>
      <c r="H86" s="57">
        <f t="array" ref="H86">IFERROR(IF(AND(F86='1. Configuration'!$B$12,G86='1. Configuration'!$C$51),IF((F86='1. Configuration'!$B$12),(VLOOKUP(E86,'1. Configuration'!$A$13:$C$21,2,)),""),""),"")</f>
        <v/>
      </c>
      <c r="I86" s="53" t="n"/>
      <c r="J86" s="54" t="n"/>
      <c r="K86" s="55" t="n"/>
      <c r="L86" s="58">
        <f t="array" ref="L86">IFERROR(IF((F86='1. Configuration'!$C$12),(VLOOKUP(E86,'1. Configuration'!$A$13:$C$21,3,)),(IF((G86='1. Configuration'!$B$51),(VLOOKUP(E86,'1. Configuration'!$A$13:$C$21,2,)),""))),"")</f>
        <v/>
      </c>
      <c r="M86" s="73" t="n"/>
      <c r="N86" s="167" t="n"/>
    </row>
    <row r="87">
      <c r="A87" s="4">
        <f>IF(F87='1. Configuration'!$C$12,"",IF((G87='1. Configuration'!$C$51),(IF(D87&gt;0,(IF(COUNTIF($D$6:D86,D87)&gt;0,"",MAX($A$6:A86)+1)),"")),""))</f>
        <v/>
      </c>
      <c r="B87" s="4">
        <f t="array" ref="B87">IF((F87='1. Configuration'!$B$12),(IF(D87&gt;0,(IF(COUNTIF($D$6:D86,D87)&gt;0,"",MAX($B$6:B86)+1)),"")),"")</f>
        <v/>
      </c>
      <c r="C87" s="4">
        <f>D87&amp;C$83</f>
        <v/>
      </c>
      <c r="D87" s="71" t="n"/>
      <c r="E87" s="135" t="n"/>
      <c r="F87" s="143">
        <f t="array" ref="F87">IFERROR(IF(INDEX('2. Collaborateurs·trices'!$A$6:$M$40,(MATCH('3. Prestations'!D87,'2. Collaborateurs·trices'!$C$6:$C$40,0)),8)=0,'1. Configuration'!$B$12,INDEX('2. Collaborateurs·trices'!$A$6:$M$40,(MATCH('3. Prestations'!D87,'2. Collaborateurs·trices'!$C$6:$C$40,0)),8)),"")</f>
        <v/>
      </c>
      <c r="G87" s="140">
        <f t="array" ref="G87">IFERROR(IF((INDEX('2. Collaborateurs·trices'!$A$6:$M$40,(MATCH('3. Prestations'!D87,'2. Collaborateurs·trices'!$C$6:$C$40,0)),10)=0),'1. Configuration'!$C$51,INDEX('2. Collaborateurs·trices'!$A$6:$M$40,(MATCH('3. Prestations'!D87,'2. Collaborateurs·trices'!$C$6:$C$40,0)),10)),IF(E87="","",'1. Configuration'!$C$51))</f>
        <v/>
      </c>
      <c r="H87" s="57">
        <f t="array" ref="H87">IFERROR(IF(AND(F87='1. Configuration'!$B$12,G87='1. Configuration'!$C$51),IF((F87='1. Configuration'!$B$12),(VLOOKUP(E87,'1. Configuration'!$A$13:$C$21,2,)),""),""),"")</f>
        <v/>
      </c>
      <c r="I87" s="53" t="n"/>
      <c r="J87" s="54" t="n"/>
      <c r="K87" s="55" t="n"/>
      <c r="L87" s="58">
        <f t="array" ref="L87">IFERROR(IF((F87='1. Configuration'!$C$12),(VLOOKUP(E87,'1. Configuration'!$A$13:$C$21,3,)),(IF((G87='1. Configuration'!$B$51),(VLOOKUP(E87,'1. Configuration'!$A$13:$C$21,2,)),""))),"")</f>
        <v/>
      </c>
      <c r="M87" s="73" t="n"/>
      <c r="N87" s="167" t="n"/>
    </row>
    <row r="88">
      <c r="A88" s="4">
        <f>IF(F88='1. Configuration'!$C$12,"",IF((G88='1. Configuration'!$C$51),(IF(D88&gt;0,(IF(COUNTIF($D$6:D87,D88)&gt;0,"",MAX($A$6:A87)+1)),"")),""))</f>
        <v/>
      </c>
      <c r="B88" s="4">
        <f t="array" ref="B88">IF((F88='1. Configuration'!$B$12),(IF(D88&gt;0,(IF(COUNTIF($D$6:D87,D88)&gt;0,"",MAX($B$6:B87)+1)),"")),"")</f>
        <v/>
      </c>
      <c r="C88" s="4">
        <f>D88&amp;C$83</f>
        <v/>
      </c>
      <c r="D88" s="71" t="n"/>
      <c r="E88" s="135" t="n"/>
      <c r="F88" s="143">
        <f t="array" ref="F88">IFERROR(IF(INDEX('2. Collaborateurs·trices'!$A$6:$M$40,(MATCH('3. Prestations'!D88,'2. Collaborateurs·trices'!$C$6:$C$40,0)),8)=0,'1. Configuration'!$B$12,INDEX('2. Collaborateurs·trices'!$A$6:$M$40,(MATCH('3. Prestations'!D88,'2. Collaborateurs·trices'!$C$6:$C$40,0)),8)),"")</f>
        <v/>
      </c>
      <c r="G88" s="140">
        <f t="array" ref="G88">IFERROR(IF((INDEX('2. Collaborateurs·trices'!$A$6:$M$40,(MATCH('3. Prestations'!D88,'2. Collaborateurs·trices'!$C$6:$C$40,0)),10)=0),'1. Configuration'!$C$51,INDEX('2. Collaborateurs·trices'!$A$6:$M$40,(MATCH('3. Prestations'!D88,'2. Collaborateurs·trices'!$C$6:$C$40,0)),10)),IF(E88="","",'1. Configuration'!$C$51))</f>
        <v/>
      </c>
      <c r="H88" s="57">
        <f t="array" ref="H88">IFERROR(IF(AND(F88='1. Configuration'!$B$12,G88='1. Configuration'!$C$51),IF((F88='1. Configuration'!$B$12),(VLOOKUP(E88,'1. Configuration'!$A$13:$C$21,2,)),""),""),"")</f>
        <v/>
      </c>
      <c r="I88" s="53" t="n"/>
      <c r="J88" s="54" t="n"/>
      <c r="K88" s="55" t="n"/>
      <c r="L88" s="58">
        <f t="array" ref="L88">IFERROR(IF((F88='1. Configuration'!$C$12),(VLOOKUP(E88,'1. Configuration'!$A$13:$C$21,3,)),(IF((G88='1. Configuration'!$B$51),(VLOOKUP(E88,'1. Configuration'!$A$13:$C$21,2,)),""))),"")</f>
        <v/>
      </c>
      <c r="M88" s="73" t="n"/>
      <c r="N88" s="167" t="n"/>
    </row>
    <row r="89">
      <c r="A89" s="4">
        <f>IF(F89='1. Configuration'!$C$12,"",IF((G89='1. Configuration'!$C$51),(IF(D89&gt;0,(IF(COUNTIF($D$6:D88,D89)&gt;0,"",MAX($A$6:A88)+1)),"")),""))</f>
        <v/>
      </c>
      <c r="B89" s="4">
        <f t="array" ref="B89">IF((F89='1. Configuration'!$B$12),(IF(D89&gt;0,(IF(COUNTIF($D$6:D88,D89)&gt;0,"",MAX($B$6:B88)+1)),"")),"")</f>
        <v/>
      </c>
      <c r="C89" s="4">
        <f>D89&amp;C$83</f>
        <v/>
      </c>
      <c r="D89" s="71" t="n"/>
      <c r="E89" s="135" t="n"/>
      <c r="F89" s="143">
        <f t="array" ref="F89">IFERROR(IF(INDEX('2. Collaborateurs·trices'!$A$6:$M$40,(MATCH('3. Prestations'!D89,'2. Collaborateurs·trices'!$C$6:$C$40,0)),8)=0,'1. Configuration'!$B$12,INDEX('2. Collaborateurs·trices'!$A$6:$M$40,(MATCH('3. Prestations'!D89,'2. Collaborateurs·trices'!$C$6:$C$40,0)),8)),"")</f>
        <v/>
      </c>
      <c r="G89" s="140">
        <f t="array" ref="G89">IFERROR(IF((INDEX('2. Collaborateurs·trices'!$A$6:$M$40,(MATCH('3. Prestations'!D89,'2. Collaborateurs·trices'!$C$6:$C$40,0)),10)=0),'1. Configuration'!$C$51,INDEX('2. Collaborateurs·trices'!$A$6:$M$40,(MATCH('3. Prestations'!D89,'2. Collaborateurs·trices'!$C$6:$C$40,0)),10)),IF(E89="","",'1. Configuration'!$C$51))</f>
        <v/>
      </c>
      <c r="H89" s="57">
        <f t="array" ref="H89">IFERROR(IF(AND(F89='1. Configuration'!$B$12,G89='1. Configuration'!$C$51),IF((F89='1. Configuration'!$B$12),(VLOOKUP(E89,'1. Configuration'!$A$13:$C$21,2,)),""),""),"")</f>
        <v/>
      </c>
      <c r="I89" s="53" t="n"/>
      <c r="J89" s="54" t="n"/>
      <c r="K89" s="55" t="n"/>
      <c r="L89" s="58">
        <f t="array" ref="L89">IFERROR(IF((F89='1. Configuration'!$C$12),(VLOOKUP(E89,'1. Configuration'!$A$13:$C$21,3,)),(IF((G89='1. Configuration'!$B$51),(VLOOKUP(E89,'1. Configuration'!$A$13:$C$21,2,)),""))),"")</f>
        <v/>
      </c>
      <c r="M89" s="73" t="n"/>
      <c r="N89" s="167" t="n"/>
    </row>
    <row r="90">
      <c r="A90" s="4">
        <f>IF(F90='1. Configuration'!$C$12,"",IF((G90='1. Configuration'!$C$51),(IF(D90&gt;0,(IF(COUNTIF($D$6:D89,D90)&gt;0,"",MAX($A$6:A89)+1)),"")),""))</f>
        <v/>
      </c>
      <c r="B90" s="4">
        <f t="array" ref="B90">IF((F90='1. Configuration'!$B$12),(IF(D90&gt;0,(IF(COUNTIF($D$6:D89,D90)&gt;0,"",MAX($B$6:B89)+1)),"")),"")</f>
        <v/>
      </c>
      <c r="C90" s="4">
        <f>D90&amp;C$83</f>
        <v/>
      </c>
      <c r="D90" s="71" t="n"/>
      <c r="E90" s="135" t="n"/>
      <c r="F90" s="143">
        <f t="array" ref="F90">IFERROR(IF(INDEX('2. Collaborateurs·trices'!$A$6:$M$40,(MATCH('3. Prestations'!D90,'2. Collaborateurs·trices'!$C$6:$C$40,0)),8)=0,'1. Configuration'!$B$12,INDEX('2. Collaborateurs·trices'!$A$6:$M$40,(MATCH('3. Prestations'!D90,'2. Collaborateurs·trices'!$C$6:$C$40,0)),8)),"")</f>
        <v/>
      </c>
      <c r="G90" s="140">
        <f t="array" ref="G90">IFERROR(IF((INDEX('2. Collaborateurs·trices'!$A$6:$M$40,(MATCH('3. Prestations'!D90,'2. Collaborateurs·trices'!$C$6:$C$40,0)),10)=0),'1. Configuration'!$C$51,INDEX('2. Collaborateurs·trices'!$A$6:$M$40,(MATCH('3. Prestations'!D90,'2. Collaborateurs·trices'!$C$6:$C$40,0)),10)),IF(E90="","",'1. Configuration'!$C$51))</f>
        <v/>
      </c>
      <c r="H90" s="57">
        <f t="array" ref="H90">IFERROR(IF(AND(F90='1. Configuration'!$B$12,G90='1. Configuration'!$C$51),IF((F90='1. Configuration'!$B$12),(VLOOKUP(E90,'1. Configuration'!$A$13:$C$21,2,)),""),""),"")</f>
        <v/>
      </c>
      <c r="I90" s="53" t="n"/>
      <c r="J90" s="54" t="n"/>
      <c r="K90" s="55" t="n"/>
      <c r="L90" s="58">
        <f t="array" ref="L90">IFERROR(IF((F90='1. Configuration'!$C$12),(VLOOKUP(E90,'1. Configuration'!$A$13:$C$21,3,)),(IF((G90='1. Configuration'!$B$51),(VLOOKUP(E90,'1. Configuration'!$A$13:$C$21,2,)),""))),"")</f>
        <v/>
      </c>
      <c r="M90" s="73" t="n"/>
      <c r="N90" s="167" t="n"/>
    </row>
    <row r="91" ht="15" customHeight="1" thickBot="1">
      <c r="A91" s="4">
        <f>IF(F91='1. Configuration'!$C$12,"",IF((G91='1. Configuration'!$C$51),(IF(D91&gt;0,(IF(COUNTIF($D$6:D90,D91)&gt;0,"",MAX($A$6:A90)+1)),"")),""))</f>
        <v/>
      </c>
      <c r="B91" s="4">
        <f t="array" ref="B91">IF((F91='1. Configuration'!$B$12),(IF(D91&gt;0,(IF(COUNTIF($D$6:D90,D91)&gt;0,"",MAX($B$6:B90)+1)),"")),"")</f>
        <v/>
      </c>
      <c r="C91" s="4">
        <f>D91&amp;C$83</f>
        <v/>
      </c>
      <c r="D91" s="72" t="n"/>
      <c r="E91" s="136" t="n"/>
      <c r="F91" s="145">
        <f t="array" ref="F91">IFERROR(IF(INDEX('2. Collaborateurs·trices'!$A$6:$M$40,(MATCH('3. Prestations'!D91,'2. Collaborateurs·trices'!$C$6:$C$40,0)),8)=0,'1. Configuration'!$B$12,INDEX('2. Collaborateurs·trices'!$A$6:$M$40,(MATCH('3. Prestations'!D91,'2. Collaborateurs·trices'!$C$6:$C$40,0)),8)),"")</f>
        <v/>
      </c>
      <c r="G91" s="141">
        <f t="array" ref="G91">IFERROR(IF((INDEX('2. Collaborateurs·trices'!$A$6:$M$40,(MATCH('3. Prestations'!D91,'2. Collaborateurs·trices'!$C$6:$C$40,0)),10)=0),'1. Configuration'!$C$51,INDEX('2. Collaborateurs·trices'!$A$6:$M$40,(MATCH('3. Prestations'!D91,'2. Collaborateurs·trices'!$C$6:$C$40,0)),10)),IF(E91="","",'1. Configuration'!$C$51))</f>
        <v/>
      </c>
      <c r="H91" s="59">
        <f t="array" ref="H91">IFERROR(IF(AND(F91='1. Configuration'!$B$12,G91='1. Configuration'!$C$51),IF((F91='1. Configuration'!$B$12),(VLOOKUP(E91,'1. Configuration'!$A$13:$C$21,2,)),""),""),"")</f>
        <v/>
      </c>
      <c r="I91" s="60" t="n"/>
      <c r="J91" s="61" t="n"/>
      <c r="K91" s="62" t="n"/>
      <c r="L91" s="63">
        <f t="array" ref="L91">IFERROR(IF((F91='1. Configuration'!$C$12),(VLOOKUP(E91,'1. Configuration'!$A$13:$C$21,3,)),(IF((G91='1. Configuration'!$B$51),(VLOOKUP(E91,'1. Configuration'!$A$13:$C$21,2,)),""))),"")</f>
        <v/>
      </c>
      <c r="M91" s="74" t="n"/>
      <c r="N91" s="168" t="n"/>
    </row>
    <row r="92" ht="15" customHeight="1" thickBot="1">
      <c r="A92" s="4">
        <f>IF(F92='1. Configuration'!$C$12,"",IF((G92='1. Configuration'!$C$51),(IF(D92&gt;0,(IF(COUNTIF($D$6:D91,D92)&gt;0,"",MAX($A$6:A91)+1)),"")),""))</f>
        <v/>
      </c>
      <c r="B92" s="4">
        <f t="array" ref="B92">IF((F92='1. Configuration'!$B$12),(IF(D92&gt;0,(IF(COUNTIF($D$6:D91,D92)&gt;0,"",MAX($B$6:B91)+1)),"")),"")</f>
        <v/>
      </c>
    </row>
    <row r="93">
      <c r="A93" s="4">
        <f>IF(F93='1. Configuration'!$C$12,"",IF((G93='1. Configuration'!$C$51),(IF(D93&gt;0,(IF(COUNTIF($D$6:D92,D93)&gt;0,"",MAX($A$6:A92)+1)),"")),""))</f>
        <v/>
      </c>
      <c r="B93" s="4">
        <f t="array" ref="B93">IF((F93='1. Configuration'!$B$12),(IF(D93&gt;0,(IF(COUNTIF($D$6:D92,D93)&gt;0,"",MAX($B$6:B92)+1)),"")),"")</f>
        <v/>
      </c>
      <c r="D93" s="117">
        <f>TEXT(DAY('1. Configuration'!B32),"00")&amp;"."&amp;TEXT(MONTH('1. Configuration'!B32),"00")&amp;"."&amp;TEXT(YEAR('1. Configuration'!B32),"00")&amp;" | "&amp;'1. Configuration'!A32</f>
        <v/>
      </c>
      <c r="E93" s="118" t="n"/>
      <c r="F93" s="118" t="n"/>
      <c r="G93" s="119" t="n"/>
      <c r="H93" s="122">
        <f>$H$5</f>
        <v/>
      </c>
      <c r="I93" s="120" t="n"/>
      <c r="J93" s="120" t="n"/>
      <c r="K93" s="120" t="n"/>
      <c r="L93" s="120">
        <f>$L$5</f>
        <v/>
      </c>
      <c r="M93" s="121" t="n"/>
      <c r="N93" s="165" t="n"/>
    </row>
    <row r="94" ht="15" customHeight="1" thickBot="1">
      <c r="A94" s="4">
        <f>IF(F94='1. Configuration'!$C$12,"",IF((G94='1. Configuration'!$C$51),(IF(D94&gt;0,(IF(COUNTIF($D$6:D93,D94)&gt;0,"",MAX($A$6:A93)+1)),"")),""))</f>
        <v/>
      </c>
      <c r="B94" s="4">
        <f t="array" ref="B94">IF((F94='1. Configuration'!$B$12),(IF(D94&gt;0,(IF(COUNTIF($D$6:D93,D94)&gt;0,"",MAX($B$6:B93)+1)),"")),"")</f>
        <v/>
      </c>
      <c r="C94" s="51">
        <f>'1. Configuration'!B32</f>
        <v/>
      </c>
      <c r="D94" s="123">
        <f>$D$6</f>
        <v/>
      </c>
      <c r="E94" s="124">
        <f>$E$6</f>
        <v/>
      </c>
      <c r="F94" s="124">
        <f>$F$6</f>
        <v/>
      </c>
      <c r="G94" s="125">
        <f>$G$6</f>
        <v/>
      </c>
      <c r="H94" s="126">
        <f>$H$6</f>
        <v/>
      </c>
      <c r="I94" s="124" t="n"/>
      <c r="J94" s="124" t="n"/>
      <c r="K94" s="124" t="n"/>
      <c r="L94" s="124" t="inlineStr">
        <is>
          <t>Cachet</t>
        </is>
      </c>
      <c r="M94" s="127">
        <f>$M$6</f>
        <v/>
      </c>
      <c r="N94" s="162" t="n"/>
    </row>
    <row r="95">
      <c r="A95" s="4">
        <f>IF(F95='1. Configuration'!$C$12,"",IF((G95='1. Configuration'!$C$51),(IF(D95&gt;0,(IF(COUNTIF($D$6:D94,D95)&gt;0,"",MAX($A$6:A94)+1)),"")),""))</f>
        <v/>
      </c>
      <c r="B95" s="4">
        <f t="array" ref="B95">IF((F95='1. Configuration'!$B$12),(IF(D95&gt;0,(IF(COUNTIF($D$6:D94,D95)&gt;0,"",MAX($B$6:B94)+1)),"")),"")</f>
        <v/>
      </c>
      <c r="C95" s="4">
        <f>D95&amp;C$94</f>
        <v/>
      </c>
      <c r="D95" s="70" t="n"/>
      <c r="E95" s="134" t="n"/>
      <c r="F95" s="144">
        <f t="array" ref="F95">IFERROR(IF(INDEX('2. Collaborateurs·trices'!$A$6:$M$40,(MATCH('3. Prestations'!D95,'2. Collaborateurs·trices'!$C$6:$C$40,0)),8)=0,'1. Configuration'!$B$12,INDEX('2. Collaborateurs·trices'!$A$6:$M$40,(MATCH('3. Prestations'!D95,'2. Collaborateurs·trices'!$C$6:$C$40,0)),8)),'1. Configuration'!$B$12)</f>
        <v/>
      </c>
      <c r="G95" s="139">
        <f t="array" ref="G95">IFERROR(IF((INDEX('2. Collaborateurs·trices'!$A$6:$M$40,(MATCH('3. Prestations'!D95,'2. Collaborateurs·trices'!$C$6:$C$40,0)),10)=0),'1. Configuration'!$C$51,INDEX('2. Collaborateurs·trices'!$A$6:$M$40,(MATCH('3. Prestations'!D95,'2. Collaborateurs·trices'!$C$6:$C$40,0)),10)),IF(E95="","",'1. Configuration'!$C$51))</f>
        <v/>
      </c>
      <c r="H95" s="52">
        <f t="array" ref="H95">IFERROR(IF(AND(F95='1. Configuration'!$B$12,G95='1. Configuration'!$C$51),IF((F95='1. Configuration'!$B$12),(VLOOKUP(E95,'1. Configuration'!$A$13:$C$21,2,)),""),""),"")</f>
        <v/>
      </c>
      <c r="I95" s="53" t="n"/>
      <c r="J95" s="54" t="n"/>
      <c r="K95" s="55" t="n"/>
      <c r="L95" s="56">
        <f t="array" ref="L95">IFERROR(IF((F95='1. Configuration'!$C$12),(VLOOKUP(E95,'1. Configuration'!$A$13:$C$21,3,)),(IF((G95='1. Configuration'!$B$51),(VLOOKUP(E95,'1. Configuration'!$A$13:$C$21,2,)),""))),"")</f>
        <v/>
      </c>
      <c r="M95" s="73" t="n"/>
      <c r="N95" s="166" t="n"/>
    </row>
    <row r="96">
      <c r="A96" s="4">
        <f>IF(F96='1. Configuration'!$C$12,"",IF((G96='1. Configuration'!$C$51),(IF(D96&gt;0,(IF(COUNTIF($D$6:D95,D96)&gt;0,"",MAX($A$6:A95)+1)),"")),""))</f>
        <v/>
      </c>
      <c r="B96" s="4">
        <f t="array" ref="B96">IF((F96='1. Configuration'!$B$12),(IF(D96&gt;0,(IF(COUNTIF($D$6:D95,D96)&gt;0,"",MAX($B$6:B95)+1)),"")),"")</f>
        <v/>
      </c>
      <c r="C96" s="4">
        <f>D96&amp;C$94</f>
        <v/>
      </c>
      <c r="D96" s="71" t="n"/>
      <c r="E96" s="135" t="n"/>
      <c r="F96" s="143">
        <f t="array" ref="F96">IFERROR(IF(INDEX('2. Collaborateurs·trices'!$A$6:$M$40,(MATCH('3. Prestations'!D96,'2. Collaborateurs·trices'!$C$6:$C$40,0)),8)=0,'1. Configuration'!$B$12,INDEX('2. Collaborateurs·trices'!$A$6:$M$40,(MATCH('3. Prestations'!D96,'2. Collaborateurs·trices'!$C$6:$C$40,0)),8)),'1. Configuration'!$B$12)</f>
        <v/>
      </c>
      <c r="G96" s="140">
        <f t="array" ref="G96">IFERROR(IF((INDEX('2. Collaborateurs·trices'!$A$6:$M$40,(MATCH('3. Prestations'!D96,'2. Collaborateurs·trices'!$C$6:$C$40,0)),10)=0),'1. Configuration'!$C$51,INDEX('2. Collaborateurs·trices'!$A$6:$M$40,(MATCH('3. Prestations'!D96,'2. Collaborateurs·trices'!$C$6:$C$40,0)),10)),IF(E96="","",'1. Configuration'!$C$51))</f>
        <v/>
      </c>
      <c r="H96" s="57">
        <f t="array" ref="H96">IFERROR(IF(AND(F96='1. Configuration'!$B$12,G96='1. Configuration'!$C$51),IF((F96='1. Configuration'!$B$12),(VLOOKUP(E96,'1. Configuration'!$A$13:$C$21,2,)),""),""),"")</f>
        <v/>
      </c>
      <c r="I96" s="53" t="n"/>
      <c r="J96" s="54" t="n"/>
      <c r="K96" s="55" t="n"/>
      <c r="L96" s="58">
        <f t="array" ref="L96">IFERROR(IF((F96='1. Configuration'!$C$12),(VLOOKUP(E96,'1. Configuration'!$A$13:$C$21,3,)),(IF((G96='1. Configuration'!$B$51),(VLOOKUP(E96,'1. Configuration'!$A$13:$C$21,2,)),""))),"")</f>
        <v/>
      </c>
      <c r="M96" s="73" t="n"/>
      <c r="N96" s="167" t="n"/>
    </row>
    <row r="97">
      <c r="A97" s="4">
        <f>IF(F97='1. Configuration'!$C$12,"",IF((G97='1. Configuration'!$C$51),(IF(D97&gt;0,(IF(COUNTIF($D$6:D96,D97)&gt;0,"",MAX($A$6:A96)+1)),"")),""))</f>
        <v/>
      </c>
      <c r="B97" s="4">
        <f t="array" ref="B97">IF((F97='1. Configuration'!$B$12),(IF(D97&gt;0,(IF(COUNTIF($D$6:D96,D97)&gt;0,"",MAX($B$6:B96)+1)),"")),"")</f>
        <v/>
      </c>
      <c r="C97" s="4">
        <f>D97&amp;C$94</f>
        <v/>
      </c>
      <c r="D97" s="71" t="n"/>
      <c r="E97" s="135" t="n"/>
      <c r="F97" s="143">
        <f t="array" ref="F97">IFERROR(IF(INDEX('2. Collaborateurs·trices'!$A$6:$M$40,(MATCH('3. Prestations'!D97,'2. Collaborateurs·trices'!$C$6:$C$40,0)),8)=0,'1. Configuration'!$B$12,INDEX('2. Collaborateurs·trices'!$A$6:$M$40,(MATCH('3. Prestations'!D97,'2. Collaborateurs·trices'!$C$6:$C$40,0)),8)),'1. Configuration'!$B$12)</f>
        <v/>
      </c>
      <c r="G97" s="140">
        <f t="array" ref="G97">IFERROR(IF((INDEX('2. Collaborateurs·trices'!$A$6:$M$40,(MATCH('3. Prestations'!D97,'2. Collaborateurs·trices'!$C$6:$C$40,0)),10)=0),'1. Configuration'!$C$51,INDEX('2. Collaborateurs·trices'!$A$6:$M$40,(MATCH('3. Prestations'!D97,'2. Collaborateurs·trices'!$C$6:$C$40,0)),10)),IF(E97="","",'1. Configuration'!$C$51))</f>
        <v/>
      </c>
      <c r="H97" s="57">
        <f t="array" ref="H97">IFERROR(IF(AND(F97='1. Configuration'!$B$12,G97='1. Configuration'!$C$51),IF((F97='1. Configuration'!$B$12),(VLOOKUP(E97,'1. Configuration'!$A$13:$C$21,2,)),""),""),"")</f>
        <v/>
      </c>
      <c r="I97" s="53" t="n"/>
      <c r="J97" s="54" t="n"/>
      <c r="K97" s="55" t="n"/>
      <c r="L97" s="58">
        <f t="array" ref="L97">IFERROR(IF((F97='1. Configuration'!$C$12),(VLOOKUP(E97,'1. Configuration'!$A$13:$C$21,3,)),(IF((G97='1. Configuration'!$B$51),(VLOOKUP(E97,'1. Configuration'!$A$13:$C$21,2,)),""))),"")</f>
        <v/>
      </c>
      <c r="M97" s="73" t="n"/>
      <c r="N97" s="167" t="n"/>
    </row>
    <row r="98">
      <c r="A98" s="4">
        <f>IF(F98='1. Configuration'!$C$12,"",IF((G98='1. Configuration'!$C$51),(IF(D98&gt;0,(IF(COUNTIF($D$6:D97,D98)&gt;0,"",MAX($A$6:A97)+1)),"")),""))</f>
        <v/>
      </c>
      <c r="B98" s="4">
        <f t="array" ref="B98">IF((F98='1. Configuration'!$B$12),(IF(D98&gt;0,(IF(COUNTIF($D$6:D97,D98)&gt;0,"",MAX($B$6:B97)+1)),"")),"")</f>
        <v/>
      </c>
      <c r="C98" s="4">
        <f>D98&amp;C$94</f>
        <v/>
      </c>
      <c r="D98" s="71" t="n"/>
      <c r="E98" s="135" t="n"/>
      <c r="F98" s="143">
        <f t="array" ref="F98">IFERROR(IF(INDEX('2. Collaborateurs·trices'!$A$6:$M$40,(MATCH('3. Prestations'!D98,'2. Collaborateurs·trices'!$C$6:$C$40,0)),8)=0,'1. Configuration'!$B$12,INDEX('2. Collaborateurs·trices'!$A$6:$M$40,(MATCH('3. Prestations'!D98,'2. Collaborateurs·trices'!$C$6:$C$40,0)),8)),"")</f>
        <v/>
      </c>
      <c r="G98" s="140">
        <f t="array" ref="G98">IFERROR(IF((INDEX('2. Collaborateurs·trices'!$A$6:$M$40,(MATCH('3. Prestations'!D98,'2. Collaborateurs·trices'!$C$6:$C$40,0)),10)=0),'1. Configuration'!$C$51,INDEX('2. Collaborateurs·trices'!$A$6:$M$40,(MATCH('3. Prestations'!D98,'2. Collaborateurs·trices'!$C$6:$C$40,0)),10)),IF(E98="","",'1. Configuration'!$C$51))</f>
        <v/>
      </c>
      <c r="H98" s="57">
        <f t="array" ref="H98">IFERROR(IF(AND(F98='1. Configuration'!$B$12,G98='1. Configuration'!$C$51),IF((F98='1. Configuration'!$B$12),(VLOOKUP(E98,'1. Configuration'!$A$13:$C$21,2,)),""),""),"")</f>
        <v/>
      </c>
      <c r="I98" s="53" t="n"/>
      <c r="J98" s="54" t="n"/>
      <c r="K98" s="55" t="n"/>
      <c r="L98" s="58">
        <f t="array" ref="L98">IFERROR(IF((F98='1. Configuration'!$C$12),(VLOOKUP(E98,'1. Configuration'!$A$13:$C$21,3,)),(IF((G98='1. Configuration'!$B$51),(VLOOKUP(E98,'1. Configuration'!$A$13:$C$21,2,)),""))),"")</f>
        <v/>
      </c>
      <c r="M98" s="73" t="n"/>
      <c r="N98" s="167" t="n"/>
    </row>
    <row r="99">
      <c r="A99" s="4">
        <f>IF(F99='1. Configuration'!$C$12,"",IF((G99='1. Configuration'!$C$51),(IF(D99&gt;0,(IF(COUNTIF($D$6:D98,D99)&gt;0,"",MAX($A$6:A98)+1)),"")),""))</f>
        <v/>
      </c>
      <c r="B99" s="4">
        <f t="array" ref="B99">IF((F99='1. Configuration'!$B$12),(IF(D99&gt;0,(IF(COUNTIF($D$6:D98,D99)&gt;0,"",MAX($B$6:B98)+1)),"")),"")</f>
        <v/>
      </c>
      <c r="C99" s="4">
        <f>D99&amp;C$94</f>
        <v/>
      </c>
      <c r="D99" s="71" t="n"/>
      <c r="E99" s="135" t="n"/>
      <c r="F99" s="143">
        <f t="array" ref="F99">IFERROR(IF(INDEX('2. Collaborateurs·trices'!$A$6:$M$40,(MATCH('3. Prestations'!D99,'2. Collaborateurs·trices'!$C$6:$C$40,0)),8)=0,'1. Configuration'!$B$12,INDEX('2. Collaborateurs·trices'!$A$6:$M$40,(MATCH('3. Prestations'!D99,'2. Collaborateurs·trices'!$C$6:$C$40,0)),8)),"")</f>
        <v/>
      </c>
      <c r="G99" s="140">
        <f t="array" ref="G99">IFERROR(IF((INDEX('2. Collaborateurs·trices'!$A$6:$M$40,(MATCH('3. Prestations'!D99,'2. Collaborateurs·trices'!$C$6:$C$40,0)),10)=0),'1. Configuration'!$C$51,INDEX('2. Collaborateurs·trices'!$A$6:$M$40,(MATCH('3. Prestations'!D99,'2. Collaborateurs·trices'!$C$6:$C$40,0)),10)),IF(E99="","",'1. Configuration'!$C$51))</f>
        <v/>
      </c>
      <c r="H99" s="57">
        <f t="array" ref="H99">IFERROR(IF(AND(F99='1. Configuration'!$B$12,G99='1. Configuration'!$C$51),IF((F99='1. Configuration'!$B$12),(VLOOKUP(E99,'1. Configuration'!$A$13:$C$21,2,)),""),""),"")</f>
        <v/>
      </c>
      <c r="I99" s="53" t="n"/>
      <c r="J99" s="54" t="n"/>
      <c r="K99" s="55" t="n"/>
      <c r="L99" s="58">
        <f t="array" ref="L99">IFERROR(IF((F99='1. Configuration'!$C$12),(VLOOKUP(E99,'1. Configuration'!$A$13:$C$21,3,)),(IF((G99='1. Configuration'!$B$51),(VLOOKUP(E99,'1. Configuration'!$A$13:$C$21,2,)),""))),"")</f>
        <v/>
      </c>
      <c r="M99" s="73" t="n"/>
      <c r="N99" s="167" t="n"/>
    </row>
    <row r="100">
      <c r="A100" s="4">
        <f>IF(F100='1. Configuration'!$C$12,"",IF((G100='1. Configuration'!$C$51),(IF(D100&gt;0,(IF(COUNTIF($D$6:D99,D100)&gt;0,"",MAX($A$6:A99)+1)),"")),""))</f>
        <v/>
      </c>
      <c r="B100" s="4">
        <f t="array" ref="B100">IF((F100='1. Configuration'!$B$12),(IF(D100&gt;0,(IF(COUNTIF($D$6:D99,D100)&gt;0,"",MAX($B$6:B99)+1)),"")),"")</f>
        <v/>
      </c>
      <c r="C100" s="4">
        <f>D100&amp;C$94</f>
        <v/>
      </c>
      <c r="D100" s="71" t="n"/>
      <c r="E100" s="135" t="n"/>
      <c r="F100" s="143">
        <f t="array" ref="F100">IFERROR(IF(INDEX('2. Collaborateurs·trices'!$A$6:$M$40,(MATCH('3. Prestations'!D100,'2. Collaborateurs·trices'!$C$6:$C$40,0)),8)=0,'1. Configuration'!$B$12,INDEX('2. Collaborateurs·trices'!$A$6:$M$40,(MATCH('3. Prestations'!D100,'2. Collaborateurs·trices'!$C$6:$C$40,0)),8)),"")</f>
        <v/>
      </c>
      <c r="G100" s="140">
        <f t="array" ref="G100">IFERROR(IF((INDEX('2. Collaborateurs·trices'!$A$6:$M$40,(MATCH('3. Prestations'!D100,'2. Collaborateurs·trices'!$C$6:$C$40,0)),10)=0),'1. Configuration'!$C$51,INDEX('2. Collaborateurs·trices'!$A$6:$M$40,(MATCH('3. Prestations'!D100,'2. Collaborateurs·trices'!$C$6:$C$40,0)),10)),IF(E100="","",'1. Configuration'!$C$51))</f>
        <v/>
      </c>
      <c r="H100" s="57">
        <f t="array" ref="H100">IFERROR(IF(AND(F100='1. Configuration'!$B$12,G100='1. Configuration'!$C$51),IF((F100='1. Configuration'!$B$12),(VLOOKUP(E100,'1. Configuration'!$A$13:$C$21,2,)),""),""),"")</f>
        <v/>
      </c>
      <c r="I100" s="53" t="n"/>
      <c r="J100" s="54" t="n"/>
      <c r="K100" s="55" t="n"/>
      <c r="L100" s="58">
        <f t="array" ref="L100">IFERROR(IF((F100='1. Configuration'!$C$12),(VLOOKUP(E100,'1. Configuration'!$A$13:$C$21,3,)),(IF((G100='1. Configuration'!$B$51),(VLOOKUP(E100,'1. Configuration'!$A$13:$C$21,2,)),""))),"")</f>
        <v/>
      </c>
      <c r="M100" s="73" t="n"/>
      <c r="N100" s="167" t="n"/>
    </row>
    <row r="101">
      <c r="A101" s="4">
        <f>IF(F101='1. Configuration'!$C$12,"",IF((G101='1. Configuration'!$C$51),(IF(D101&gt;0,(IF(COUNTIF($D$6:D100,D101)&gt;0,"",MAX($A$6:A100)+1)),"")),""))</f>
        <v/>
      </c>
      <c r="B101" s="4">
        <f t="array" ref="B101">IF((F101='1. Configuration'!$B$12),(IF(D101&gt;0,(IF(COUNTIF($D$6:D100,D101)&gt;0,"",MAX($B$6:B100)+1)),"")),"")</f>
        <v/>
      </c>
      <c r="C101" s="4">
        <f>D101&amp;C$94</f>
        <v/>
      </c>
      <c r="D101" s="71" t="n"/>
      <c r="E101" s="135" t="n"/>
      <c r="F101" s="143">
        <f t="array" ref="F101">IFERROR(IF(INDEX('2. Collaborateurs·trices'!$A$6:$M$40,(MATCH('3. Prestations'!D101,'2. Collaborateurs·trices'!$C$6:$C$40,0)),8)=0,'1. Configuration'!$B$12,INDEX('2. Collaborateurs·trices'!$A$6:$M$40,(MATCH('3. Prestations'!D101,'2. Collaborateurs·trices'!$C$6:$C$40,0)),8)),"")</f>
        <v/>
      </c>
      <c r="G101" s="140">
        <f t="array" ref="G101">IFERROR(IF((INDEX('2. Collaborateurs·trices'!$A$6:$M$40,(MATCH('3. Prestations'!D101,'2. Collaborateurs·trices'!$C$6:$C$40,0)),10)=0),'1. Configuration'!$C$51,INDEX('2. Collaborateurs·trices'!$A$6:$M$40,(MATCH('3. Prestations'!D101,'2. Collaborateurs·trices'!$C$6:$C$40,0)),10)),IF(E101="","",'1. Configuration'!$C$51))</f>
        <v/>
      </c>
      <c r="H101" s="57">
        <f t="array" ref="H101">IFERROR(IF(AND(F101='1. Configuration'!$B$12,G101='1. Configuration'!$C$51),IF((F101='1. Configuration'!$B$12),(VLOOKUP(E101,'1. Configuration'!$A$13:$C$21,2,)),""),""),"")</f>
        <v/>
      </c>
      <c r="I101" s="53" t="n"/>
      <c r="J101" s="54" t="n"/>
      <c r="K101" s="55" t="n"/>
      <c r="L101" s="58">
        <f t="array" ref="L101">IFERROR(IF((F101='1. Configuration'!$C$12),(VLOOKUP(E101,'1. Configuration'!$A$13:$C$21,3,)),(IF((G101='1. Configuration'!$B$51),(VLOOKUP(E101,'1. Configuration'!$A$13:$C$21,2,)),""))),"")</f>
        <v/>
      </c>
      <c r="M101" s="73" t="n"/>
      <c r="N101" s="167" t="n"/>
    </row>
    <row r="102" ht="15" customHeight="1" thickBot="1">
      <c r="A102" s="4">
        <f>IF(F102='1. Configuration'!$C$12,"",IF((G102='1. Configuration'!$C$51),(IF(D102&gt;0,(IF(COUNTIF($D$6:D101,D102)&gt;0,"",MAX($A$6:A101)+1)),"")),""))</f>
        <v/>
      </c>
      <c r="B102" s="4">
        <f t="array" ref="B102">IF((F102='1. Configuration'!$B$12),(IF(D102&gt;0,(IF(COUNTIF($D$6:D101,D102)&gt;0,"",MAX($B$6:B101)+1)),"")),"")</f>
        <v/>
      </c>
      <c r="C102" s="4">
        <f>D102&amp;C$94</f>
        <v/>
      </c>
      <c r="D102" s="72" t="n"/>
      <c r="E102" s="136" t="n"/>
      <c r="F102" s="145">
        <f>IFERROR(IF(INDEX('2. Collaborateurs·trices'!$A$6:$M$40,(MATCH('3. Prestations'!D102,'2. Collaborateurs·trices'!$C$6:$C$40,0)),8)=0,'1. Configuration'!$B$12,INDEX('2. Collaborateurs·trices'!$A$6:$M$40,(MATCH('3. Prestations'!D102,'2. Collaborateurs·trices'!$C$6:$C$40,0)),8)),"")</f>
        <v/>
      </c>
      <c r="G102" s="141">
        <f t="array" ref="G102">IFERROR(IF((INDEX('2. Collaborateurs·trices'!$A$6:$M$40,(MATCH('3. Prestations'!D102,'2. Collaborateurs·trices'!$C$6:$C$40,0)),10)=0),'1. Configuration'!$C$51,INDEX('2. Collaborateurs·trices'!$A$6:$M$40,(MATCH('3. Prestations'!D102,'2. Collaborateurs·trices'!$C$6:$C$40,0)),10)),IF(E102="","",'1. Configuration'!$C$51))</f>
        <v/>
      </c>
      <c r="H102" s="59">
        <f t="array" ref="H102">IFERROR(IF(AND(F102='1. Configuration'!$B$12,G102='1. Configuration'!$C$51),IF((F102='1. Configuration'!$B$12),(VLOOKUP(E102,'1. Configuration'!$A$13:$C$21,2,)),""),""),"")</f>
        <v/>
      </c>
      <c r="I102" s="60" t="n"/>
      <c r="J102" s="61" t="n"/>
      <c r="K102" s="62" t="n"/>
      <c r="L102" s="63">
        <f t="array" ref="L102">IFERROR(IF((F102='1. Configuration'!$C$12),(VLOOKUP(E102,'1. Configuration'!$A$13:$C$21,3,)),(IF((G102='1. Configuration'!$B$51),(VLOOKUP(E102,'1. Configuration'!$A$13:$C$21,2,)),""))),"")</f>
        <v/>
      </c>
      <c r="M102" s="74" t="n"/>
      <c r="N102" s="168" t="n"/>
    </row>
    <row r="103" ht="15" customHeight="1" thickBot="1">
      <c r="A103" s="4">
        <f>IF(F103='1. Configuration'!$C$12,"",IF((G103='1. Configuration'!$C$51),(IF(D103&gt;0,(IF(COUNTIF($D$6:D102,D103)&gt;0,"",MAX($A$6:A102)+1)),"")),""))</f>
        <v/>
      </c>
      <c r="B103" s="4">
        <f t="array" ref="B103">IF((F103='1. Configuration'!$B$12),(IF(D103&gt;0,(IF(COUNTIF($D$6:D102,D103)&gt;0,"",MAX($B$6:B102)+1)),"")),"")</f>
        <v/>
      </c>
    </row>
    <row r="104">
      <c r="A104" s="4">
        <f>IF(F104='1. Configuration'!$C$12,"",IF((G104='1. Configuration'!$C$51),(IF(D104&gt;0,(IF(COUNTIF($D$6:D103,D104)&gt;0,"",MAX($A$6:A103)+1)),"")),""))</f>
        <v/>
      </c>
      <c r="B104" s="4">
        <f t="array" ref="B104">IF((F104='1. Configuration'!$B$12),(IF(D104&gt;0,(IF(COUNTIF($D$6:D103,D104)&gt;0,"",MAX($B$6:B103)+1)),"")),"")</f>
        <v/>
      </c>
      <c r="D104" s="117">
        <f>TEXT(DAY('1. Configuration'!B33),"00")&amp;"."&amp;TEXT(MONTH('1. Configuration'!B33),"00")&amp;"."&amp;TEXT(YEAR('1. Configuration'!B33),"00")&amp;" | "&amp;'1. Configuration'!A33</f>
        <v/>
      </c>
      <c r="E104" s="118" t="n"/>
      <c r="F104" s="118" t="n"/>
      <c r="G104" s="119" t="n"/>
      <c r="H104" s="122">
        <f>$H$5</f>
        <v/>
      </c>
      <c r="I104" s="120" t="n"/>
      <c r="J104" s="120" t="n"/>
      <c r="K104" s="120" t="n"/>
      <c r="L104" s="120">
        <f>$L$5</f>
        <v/>
      </c>
      <c r="M104" s="121" t="n"/>
      <c r="N104" s="165" t="n"/>
    </row>
    <row r="105" ht="15" customHeight="1" thickBot="1">
      <c r="A105" s="4">
        <f>IF(F105='1. Configuration'!$C$12,"",IF((G105='1. Configuration'!$C$51),(IF(D105&gt;0,(IF(COUNTIF($D$6:D104,D105)&gt;0,"",MAX($A$6:A104)+1)),"")),""))</f>
        <v/>
      </c>
      <c r="B105" s="4">
        <f t="array" ref="B105">IF((F105='1. Configuration'!$B$12),(IF(D105&gt;0,(IF(COUNTIF($D$6:D104,D105)&gt;0,"",MAX($B$6:B104)+1)),"")),"")</f>
        <v/>
      </c>
      <c r="C105" s="51">
        <f>'1. Configuration'!B33</f>
        <v/>
      </c>
      <c r="D105" s="123">
        <f>$D$6</f>
        <v/>
      </c>
      <c r="E105" s="124">
        <f>$E$6</f>
        <v/>
      </c>
      <c r="F105" s="124">
        <f>$F$6</f>
        <v/>
      </c>
      <c r="G105" s="125">
        <f>$G$6</f>
        <v/>
      </c>
      <c r="H105" s="126">
        <f>$H$6</f>
        <v/>
      </c>
      <c r="I105" s="124" t="n"/>
      <c r="J105" s="124" t="n"/>
      <c r="K105" s="124" t="n"/>
      <c r="L105" s="124" t="inlineStr">
        <is>
          <t>Cachet</t>
        </is>
      </c>
      <c r="M105" s="127">
        <f>$M$6</f>
        <v/>
      </c>
      <c r="N105" s="162" t="n"/>
    </row>
    <row r="106">
      <c r="A106" s="4">
        <f>IF(F106='1. Configuration'!$C$12,"",IF((G106='1. Configuration'!$C$51),(IF(D106&gt;0,(IF(COUNTIF($D$6:D105,D106)&gt;0,"",MAX($A$6:A105)+1)),"")),""))</f>
        <v/>
      </c>
      <c r="B106" s="4">
        <f t="array" ref="B106">IF((F106='1. Configuration'!$B$12),(IF(D106&gt;0,(IF(COUNTIF($D$6:D105,D106)&gt;0,"",MAX($B$6:B105)+1)),"")),"")</f>
        <v/>
      </c>
      <c r="C106" s="4">
        <f>D106&amp;C$105</f>
        <v/>
      </c>
      <c r="D106" s="70" t="n"/>
      <c r="E106" s="134" t="n"/>
      <c r="F106" s="144">
        <f t="array" ref="F106">IFERROR(IF(INDEX('2. Collaborateurs·trices'!$A$6:$M$40,(MATCH('3. Prestations'!D106,'2. Collaborateurs·trices'!$C$6:$C$40,0)),8)=0,'1. Configuration'!$B$12,INDEX('2. Collaborateurs·trices'!$A$6:$M$40,(MATCH('3. Prestations'!D106,'2. Collaborateurs·trices'!$C$6:$C$40,0)),8)),'1. Configuration'!$B$12)</f>
        <v/>
      </c>
      <c r="G106" s="139">
        <f t="array" ref="G106">IFERROR(IF((INDEX('2. Collaborateurs·trices'!$A$6:$M$40,(MATCH('3. Prestations'!D106,'2. Collaborateurs·trices'!$C$6:$C$40,0)),10)=0),'1. Configuration'!$C$51,INDEX('2. Collaborateurs·trices'!$A$6:$M$40,(MATCH('3. Prestations'!D106,'2. Collaborateurs·trices'!$C$6:$C$40,0)),10)),IF(E106="","",'1. Configuration'!$C$51))</f>
        <v/>
      </c>
      <c r="H106" s="52">
        <f t="array" ref="H106">IFERROR(IF(AND(F106='1. Configuration'!$B$12,G106='1. Configuration'!$C$51),IF((F106='1. Configuration'!$B$12),(VLOOKUP(E106,'1. Configuration'!$A$13:$C$21,2,)),""),""),"")</f>
        <v/>
      </c>
      <c r="I106" s="53" t="n"/>
      <c r="J106" s="54" t="n"/>
      <c r="K106" s="55" t="n"/>
      <c r="L106" s="56">
        <f t="array" ref="L106">IFERROR(IF((F106='1. Configuration'!$C$12),(VLOOKUP(E106,'1. Configuration'!$A$13:$C$21,3,)),(IF((G106='1. Configuration'!$B$51),(VLOOKUP(E106,'1. Configuration'!$A$13:$C$21,2,)),""))),"")</f>
        <v/>
      </c>
      <c r="M106" s="73" t="n"/>
      <c r="N106" s="166" t="n"/>
    </row>
    <row r="107">
      <c r="A107" s="4">
        <f>IF(F107='1. Configuration'!$C$12,"",IF((G107='1. Configuration'!$C$51),(IF(D107&gt;0,(IF(COUNTIF($D$6:D106,D107)&gt;0,"",MAX($A$6:A106)+1)),"")),""))</f>
        <v/>
      </c>
      <c r="B107" s="4">
        <f t="array" ref="B107">IF((F107='1. Configuration'!$B$12),(IF(D107&gt;0,(IF(COUNTIF($D$6:D106,D107)&gt;0,"",MAX($B$6:B106)+1)),"")),"")</f>
        <v/>
      </c>
      <c r="C107" s="4">
        <f>D107&amp;C$105</f>
        <v/>
      </c>
      <c r="D107" s="71" t="n"/>
      <c r="E107" s="135" t="n"/>
      <c r="F107" s="143">
        <f t="array" ref="F107">IFERROR(IF(INDEX('2. Collaborateurs·trices'!$A$6:$M$40,(MATCH('3. Prestations'!D107,'2. Collaborateurs·trices'!$C$6:$C$40,0)),8)=0,'1. Configuration'!$B$12,INDEX('2. Collaborateurs·trices'!$A$6:$M$40,(MATCH('3. Prestations'!D107,'2. Collaborateurs·trices'!$C$6:$C$40,0)),8)),'1. Configuration'!$B$12)</f>
        <v/>
      </c>
      <c r="G107" s="140">
        <f t="array" ref="G107">IFERROR(IF((INDEX('2. Collaborateurs·trices'!$A$6:$M$40,(MATCH('3. Prestations'!D107,'2. Collaborateurs·trices'!$C$6:$C$40,0)),10)=0),'1. Configuration'!$C$51,INDEX('2. Collaborateurs·trices'!$A$6:$M$40,(MATCH('3. Prestations'!D107,'2. Collaborateurs·trices'!$C$6:$C$40,0)),10)),IF(E107="","",'1. Configuration'!$C$51))</f>
        <v/>
      </c>
      <c r="H107" s="57">
        <f t="array" ref="H107">IFERROR(IF(AND(F107='1. Configuration'!$B$12,G107='1. Configuration'!$C$51),IF((F107='1. Configuration'!$B$12),(VLOOKUP(E107,'1. Configuration'!$A$13:$C$21,2,)),""),""),"")</f>
        <v/>
      </c>
      <c r="I107" s="53" t="n"/>
      <c r="J107" s="54" t="n"/>
      <c r="K107" s="55" t="n"/>
      <c r="L107" s="58">
        <f t="array" ref="L107">IFERROR(IF((F107='1. Configuration'!$C$12),(VLOOKUP(E107,'1. Configuration'!$A$13:$C$21,3,)),(IF((G107='1. Configuration'!$B$51),(VLOOKUP(E107,'1. Configuration'!$A$13:$C$21,2,)),""))),"")</f>
        <v/>
      </c>
      <c r="M107" s="73" t="n"/>
      <c r="N107" s="167" t="n"/>
    </row>
    <row r="108">
      <c r="A108" s="4">
        <f>IF(F108='1. Configuration'!$C$12,"",IF((G108='1. Configuration'!$C$51),(IF(D108&gt;0,(IF(COUNTIF($D$6:D107,D108)&gt;0,"",MAX($A$6:A107)+1)),"")),""))</f>
        <v/>
      </c>
      <c r="B108" s="4">
        <f t="array" ref="B108">IF((F108='1. Configuration'!$B$12),(IF(D108&gt;0,(IF(COUNTIF($D$6:D107,D108)&gt;0,"",MAX($B$6:B107)+1)),"")),"")</f>
        <v/>
      </c>
      <c r="C108" s="4">
        <f>D108&amp;C$105</f>
        <v/>
      </c>
      <c r="D108" s="71" t="n"/>
      <c r="E108" s="135" t="n"/>
      <c r="F108" s="143">
        <f t="array" ref="F108">IFERROR(IF(INDEX('2. Collaborateurs·trices'!$A$6:$M$40,(MATCH('3. Prestations'!D108,'2. Collaborateurs·trices'!$C$6:$C$40,0)),8)=0,'1. Configuration'!$B$12,INDEX('2. Collaborateurs·trices'!$A$6:$M$40,(MATCH('3. Prestations'!D108,'2. Collaborateurs·trices'!$C$6:$C$40,0)),8)),'1. Configuration'!$B$12)</f>
        <v/>
      </c>
      <c r="G108" s="140">
        <f t="array" ref="G108">IFERROR(IF((INDEX('2. Collaborateurs·trices'!$A$6:$M$40,(MATCH('3. Prestations'!D108,'2. Collaborateurs·trices'!$C$6:$C$40,0)),10)=0),'1. Configuration'!$C$51,INDEX('2. Collaborateurs·trices'!$A$6:$M$40,(MATCH('3. Prestations'!D108,'2. Collaborateurs·trices'!$C$6:$C$40,0)),10)),IF(E108="","",'1. Configuration'!$C$51))</f>
        <v/>
      </c>
      <c r="H108" s="57">
        <f t="array" ref="H108">IFERROR(IF(AND(F108='1. Configuration'!$B$12,G108='1. Configuration'!$C$51),IF((F108='1. Configuration'!$B$12),(VLOOKUP(E108,'1. Configuration'!$A$13:$C$21,2,)),""),""),"")</f>
        <v/>
      </c>
      <c r="I108" s="53" t="n"/>
      <c r="J108" s="54" t="n"/>
      <c r="K108" s="55" t="n"/>
      <c r="L108" s="58">
        <f t="array" ref="L108">IFERROR(IF((F108='1. Configuration'!$C$12),(VLOOKUP(E108,'1. Configuration'!$A$13:$C$21,3,)),(IF((G108='1. Configuration'!$B$51),(VLOOKUP(E108,'1. Configuration'!$A$13:$C$21,2,)),""))),"")</f>
        <v/>
      </c>
      <c r="M108" s="73" t="n"/>
      <c r="N108" s="167" t="n"/>
    </row>
    <row r="109">
      <c r="A109" s="4">
        <f>IF(F109='1. Configuration'!$C$12,"",IF((G109='1. Configuration'!$C$51),(IF(D109&gt;0,(IF(COUNTIF($D$6:D108,D109)&gt;0,"",MAX($A$6:A108)+1)),"")),""))</f>
        <v/>
      </c>
      <c r="B109" s="4">
        <f t="array" ref="B109">IF((F109='1. Configuration'!$B$12),(IF(D109&gt;0,(IF(COUNTIF($D$6:D108,D109)&gt;0,"",MAX($B$6:B108)+1)),"")),"")</f>
        <v/>
      </c>
      <c r="C109" s="4">
        <f>D109&amp;C$105</f>
        <v/>
      </c>
      <c r="D109" s="71" t="n"/>
      <c r="E109" s="135" t="n"/>
      <c r="F109" s="143">
        <f t="array" ref="F109">IFERROR(IF(INDEX('2. Collaborateurs·trices'!$A$6:$M$40,(MATCH('3. Prestations'!D109,'2. Collaborateurs·trices'!$C$6:$C$40,0)),8)=0,'1. Configuration'!$B$12,INDEX('2. Collaborateurs·trices'!$A$6:$M$40,(MATCH('3. Prestations'!D109,'2. Collaborateurs·trices'!$C$6:$C$40,0)),8)),"")</f>
        <v/>
      </c>
      <c r="G109" s="140">
        <f t="array" ref="G109">IFERROR(IF((INDEX('2. Collaborateurs·trices'!$A$6:$M$40,(MATCH('3. Prestations'!D109,'2. Collaborateurs·trices'!$C$6:$C$40,0)),10)=0),'1. Configuration'!$C$51,INDEX('2. Collaborateurs·trices'!$A$6:$M$40,(MATCH('3. Prestations'!D109,'2. Collaborateurs·trices'!$C$6:$C$40,0)),10)),IF(E109="","",'1. Configuration'!$C$51))</f>
        <v/>
      </c>
      <c r="H109" s="57">
        <f t="array" ref="H109">IFERROR(IF(AND(F109='1. Configuration'!$B$12,G109='1. Configuration'!$C$51),IF((F109='1. Configuration'!$B$12),(VLOOKUP(E109,'1. Configuration'!$A$13:$C$21,2,)),""),""),"")</f>
        <v/>
      </c>
      <c r="I109" s="53" t="n"/>
      <c r="J109" s="54" t="n"/>
      <c r="K109" s="55" t="n"/>
      <c r="L109" s="58">
        <f t="array" ref="L109">IFERROR(IF((F109='1. Configuration'!$C$12),(VLOOKUP(E109,'1. Configuration'!$A$13:$C$21,3,)),(IF((G109='1. Configuration'!$B$51),(VLOOKUP(E109,'1. Configuration'!$A$13:$C$21,2,)),""))),"")</f>
        <v/>
      </c>
      <c r="M109" s="73" t="n"/>
      <c r="N109" s="167" t="n"/>
    </row>
    <row r="110">
      <c r="A110" s="4">
        <f>IF(F110='1. Configuration'!$C$12,"",IF((G110='1. Configuration'!$C$51),(IF(D110&gt;0,(IF(COUNTIF($D$6:D109,D110)&gt;0,"",MAX($A$6:A109)+1)),"")),""))</f>
        <v/>
      </c>
      <c r="B110" s="4">
        <f t="array" ref="B110">IF((F110='1. Configuration'!$B$12),(IF(D110&gt;0,(IF(COUNTIF($D$6:D109,D110)&gt;0,"",MAX($B$6:B109)+1)),"")),"")</f>
        <v/>
      </c>
      <c r="C110" s="4">
        <f>D110&amp;C$105</f>
        <v/>
      </c>
      <c r="D110" s="71" t="n"/>
      <c r="E110" s="135" t="n"/>
      <c r="F110" s="143">
        <f t="array" ref="F110">IFERROR(IF(INDEX('2. Collaborateurs·trices'!$A$6:$M$40,(MATCH('3. Prestations'!D110,'2. Collaborateurs·trices'!$C$6:$C$40,0)),8)=0,'1. Configuration'!$B$12,INDEX('2. Collaborateurs·trices'!$A$6:$M$40,(MATCH('3. Prestations'!D110,'2. Collaborateurs·trices'!$C$6:$C$40,0)),8)),"")</f>
        <v/>
      </c>
      <c r="G110" s="140">
        <f t="array" ref="G110">IFERROR(IF((INDEX('2. Collaborateurs·trices'!$A$6:$M$40,(MATCH('3. Prestations'!D110,'2. Collaborateurs·trices'!$C$6:$C$40,0)),10)=0),'1. Configuration'!$C$51,INDEX('2. Collaborateurs·trices'!$A$6:$M$40,(MATCH('3. Prestations'!D110,'2. Collaborateurs·trices'!$C$6:$C$40,0)),10)),IF(E110="","",'1. Configuration'!$C$51))</f>
        <v/>
      </c>
      <c r="H110" s="57">
        <f t="array" ref="H110">IFERROR(IF(AND(F110='1. Configuration'!$B$12,G110='1. Configuration'!$C$51),IF((F110='1. Configuration'!$B$12),(VLOOKUP(E110,'1. Configuration'!$A$13:$C$21,2,)),""),""),"")</f>
        <v/>
      </c>
      <c r="I110" s="53" t="n"/>
      <c r="J110" s="54" t="n"/>
      <c r="K110" s="55" t="n"/>
      <c r="L110" s="58">
        <f t="array" ref="L110">IFERROR(IF((F110='1. Configuration'!$C$12),(VLOOKUP(E110,'1. Configuration'!$A$13:$C$21,3,)),(IF((G110='1. Configuration'!$B$51),(VLOOKUP(E110,'1. Configuration'!$A$13:$C$21,2,)),""))),"")</f>
        <v/>
      </c>
      <c r="M110" s="73" t="n"/>
      <c r="N110" s="167" t="n"/>
    </row>
    <row r="111">
      <c r="A111" s="4">
        <f>IF(F111='1. Configuration'!$C$12,"",IF((G111='1. Configuration'!$C$51),(IF(D111&gt;0,(IF(COUNTIF($D$6:D110,D111)&gt;0,"",MAX($A$6:A110)+1)),"")),""))</f>
        <v/>
      </c>
      <c r="B111" s="4">
        <f t="array" ref="B111">IF((F111='1. Configuration'!$B$12),(IF(D111&gt;0,(IF(COUNTIF($D$6:D110,D111)&gt;0,"",MAX($B$6:B110)+1)),"")),"")</f>
        <v/>
      </c>
      <c r="C111" s="4">
        <f>D111&amp;C$105</f>
        <v/>
      </c>
      <c r="D111" s="71" t="n"/>
      <c r="E111" s="135" t="n"/>
      <c r="F111" s="143">
        <f t="array" ref="F111">IFERROR(IF(INDEX('2. Collaborateurs·trices'!$A$6:$M$40,(MATCH('3. Prestations'!D111,'2. Collaborateurs·trices'!$C$6:$C$40,0)),8)=0,'1. Configuration'!$B$12,INDEX('2. Collaborateurs·trices'!$A$6:$M$40,(MATCH('3. Prestations'!D111,'2. Collaborateurs·trices'!$C$6:$C$40,0)),8)),"")</f>
        <v/>
      </c>
      <c r="G111" s="140">
        <f t="array" ref="G111">IFERROR(IF((INDEX('2. Collaborateurs·trices'!$A$6:$M$40,(MATCH('3. Prestations'!D111,'2. Collaborateurs·trices'!$C$6:$C$40,0)),10)=0),'1. Configuration'!$C$51,INDEX('2. Collaborateurs·trices'!$A$6:$M$40,(MATCH('3. Prestations'!D111,'2. Collaborateurs·trices'!$C$6:$C$40,0)),10)),IF(E111="","",'1. Configuration'!$C$51))</f>
        <v/>
      </c>
      <c r="H111" s="57">
        <f t="array" ref="H111">IFERROR(IF(AND(F111='1. Configuration'!$B$12,G111='1. Configuration'!$C$51),IF((F111='1. Configuration'!$B$12),(VLOOKUP(E111,'1. Configuration'!$A$13:$C$21,2,)),""),""),"")</f>
        <v/>
      </c>
      <c r="I111" s="53" t="n"/>
      <c r="J111" s="54" t="n"/>
      <c r="K111" s="55" t="n"/>
      <c r="L111" s="58">
        <f t="array" ref="L111">IFERROR(IF((F111='1. Configuration'!$C$12),(VLOOKUP(E111,'1. Configuration'!$A$13:$C$21,3,)),(IF((G111='1. Configuration'!$B$51),(VLOOKUP(E111,'1. Configuration'!$A$13:$C$21,2,)),""))),"")</f>
        <v/>
      </c>
      <c r="M111" s="73" t="n"/>
      <c r="N111" s="167" t="n"/>
    </row>
    <row r="112">
      <c r="A112" s="4">
        <f>IF(F112='1. Configuration'!$C$12,"",IF((G112='1. Configuration'!$C$51),(IF(D112&gt;0,(IF(COUNTIF($D$6:D111,D112)&gt;0,"",MAX($A$6:A111)+1)),"")),""))</f>
        <v/>
      </c>
      <c r="B112" s="4">
        <f t="array" ref="B112">IF((F112='1. Configuration'!$B$12),(IF(D112&gt;0,(IF(COUNTIF($D$6:D111,D112)&gt;0,"",MAX($B$6:B111)+1)),"")),"")</f>
        <v/>
      </c>
      <c r="C112" s="4">
        <f>D112&amp;C$105</f>
        <v/>
      </c>
      <c r="D112" s="71" t="n"/>
      <c r="E112" s="135" t="n"/>
      <c r="F112" s="143">
        <f t="array" ref="F112">IFERROR(IF(INDEX('2. Collaborateurs·trices'!$A$6:$M$40,(MATCH('3. Prestations'!D112,'2. Collaborateurs·trices'!$C$6:$C$40,0)),8)=0,'1. Configuration'!$B$12,INDEX('2. Collaborateurs·trices'!$A$6:$M$40,(MATCH('3. Prestations'!D112,'2. Collaborateurs·trices'!$C$6:$C$40,0)),8)),"")</f>
        <v/>
      </c>
      <c r="G112" s="140">
        <f t="array" ref="G112">IFERROR(IF((INDEX('2. Collaborateurs·trices'!$A$6:$M$40,(MATCH('3. Prestations'!D112,'2. Collaborateurs·trices'!$C$6:$C$40,0)),10)=0),'1. Configuration'!$C$51,INDEX('2. Collaborateurs·trices'!$A$6:$M$40,(MATCH('3. Prestations'!D112,'2. Collaborateurs·trices'!$C$6:$C$40,0)),10)),IF(E112="","",'1. Configuration'!$C$51))</f>
        <v/>
      </c>
      <c r="H112" s="57">
        <f t="array" ref="H112">IFERROR(IF(AND(F112='1. Configuration'!$B$12,G112='1. Configuration'!$C$51),IF((F112='1. Configuration'!$B$12),(VLOOKUP(E112,'1. Configuration'!$A$13:$C$21,2,)),""),""),"")</f>
        <v/>
      </c>
      <c r="I112" s="53" t="n"/>
      <c r="J112" s="54" t="n"/>
      <c r="K112" s="55" t="n"/>
      <c r="L112" s="58">
        <f t="array" ref="L112">IFERROR(IF((F112='1. Configuration'!$C$12),(VLOOKUP(E112,'1. Configuration'!$A$13:$C$21,3,)),(IF((G112='1. Configuration'!$B$51),(VLOOKUP(E112,'1. Configuration'!$A$13:$C$21,2,)),""))),"")</f>
        <v/>
      </c>
      <c r="M112" s="73" t="n"/>
      <c r="N112" s="167" t="n"/>
    </row>
    <row r="113" ht="15" customHeight="1" thickBot="1">
      <c r="A113" s="4">
        <f>IF(F113='1. Configuration'!$C$12,"",IF((G113='1. Configuration'!$C$51),(IF(D113&gt;0,(IF(COUNTIF($D$6:D112,D113)&gt;0,"",MAX($A$6:A112)+1)),"")),""))</f>
        <v/>
      </c>
      <c r="B113" s="4">
        <f t="array" ref="B113">IF((F113='1. Configuration'!$B$12),(IF(D113&gt;0,(IF(COUNTIF($D$6:D112,D113)&gt;0,"",MAX($B$6:B112)+1)),"")),"")</f>
        <v/>
      </c>
      <c r="C113" s="4">
        <f>D113&amp;C$105</f>
        <v/>
      </c>
      <c r="D113" s="72" t="n"/>
      <c r="E113" s="136" t="n"/>
      <c r="F113" s="145">
        <f t="array" ref="F113">IFERROR(IF(INDEX('2. Collaborateurs·trices'!$A$6:$M$40,(MATCH('3. Prestations'!D113,'2. Collaborateurs·trices'!$C$6:$C$40,0)),8)=0,'1. Configuration'!$B$12,INDEX('2. Collaborateurs·trices'!$A$6:$M$40,(MATCH('3. Prestations'!D113,'2. Collaborateurs·trices'!$C$6:$C$40,0)),8)),"")</f>
        <v/>
      </c>
      <c r="G113" s="141">
        <f t="array" ref="G113">IFERROR(IF((INDEX('2. Collaborateurs·trices'!$A$6:$M$40,(MATCH('3. Prestations'!D113,'2. Collaborateurs·trices'!$C$6:$C$40,0)),10)=0),'1. Configuration'!$C$51,INDEX('2. Collaborateurs·trices'!$A$6:$M$40,(MATCH('3. Prestations'!D113,'2. Collaborateurs·trices'!$C$6:$C$40,0)),10)),IF(E113="","",'1. Configuration'!$C$51))</f>
        <v/>
      </c>
      <c r="H113" s="59">
        <f t="array" ref="H113">IFERROR(IF(AND(F113='1. Configuration'!$B$12,G113='1. Configuration'!$C$51),IF((F113='1. Configuration'!$B$12),(VLOOKUP(E113,'1. Configuration'!$A$13:$C$21,2,)),""),""),"")</f>
        <v/>
      </c>
      <c r="I113" s="60" t="n"/>
      <c r="J113" s="61" t="n"/>
      <c r="K113" s="62" t="n"/>
      <c r="L113" s="63">
        <f t="array" ref="L113">IFERROR(IF((F113='1. Configuration'!$C$12),(VLOOKUP(E113,'1. Configuration'!$A$13:$C$21,3,)),(IF((G113='1. Configuration'!$B$51),(VLOOKUP(E113,'1. Configuration'!$A$13:$C$21,2,)),""))),"")</f>
        <v/>
      </c>
      <c r="M113" s="74" t="n"/>
      <c r="N113" s="168" t="n"/>
    </row>
    <row r="114" ht="15" customHeight="1" thickBot="1">
      <c r="A114" s="4">
        <f>IF(F114='1. Configuration'!$C$12,"",IF((G114='1. Configuration'!$C$51),(IF(D114&gt;0,(IF(COUNTIF($D$6:D113,D114)&gt;0,"",MAX($A$6:A113)+1)),"")),""))</f>
        <v/>
      </c>
      <c r="B114" s="4">
        <f t="array" ref="B114">IF((F114='1. Configuration'!$B$12),(IF(D114&gt;0,(IF(COUNTIF($D$6:D113,D114)&gt;0,"",MAX($B$6:B113)+1)),"")),"")</f>
        <v/>
      </c>
    </row>
    <row r="115">
      <c r="A115" s="4">
        <f>IF(F115='1. Configuration'!$C$12,"",IF((G115='1. Configuration'!$C$51),(IF(D115&gt;0,(IF(COUNTIF($D$6:D114,D115)&gt;0,"",MAX($A$6:A114)+1)),"")),""))</f>
        <v/>
      </c>
      <c r="B115" s="4">
        <f t="array" ref="B115">IF((F115='1. Configuration'!$B$12),(IF(D115&gt;0,(IF(COUNTIF($D$6:D114,D115)&gt;0,"",MAX($B$6:B114)+1)),"")),"")</f>
        <v/>
      </c>
      <c r="D115" s="117">
        <f>TEXT(DAY('1. Configuration'!B34),"00")&amp;"."&amp;TEXT(MONTH('1. Configuration'!B34),"00")&amp;"."&amp;TEXT(YEAR('1. Configuration'!B34),"00")&amp;" | "&amp;'1. Configuration'!A34</f>
        <v/>
      </c>
      <c r="E115" s="118" t="n"/>
      <c r="F115" s="118" t="n"/>
      <c r="G115" s="119" t="n"/>
      <c r="H115" s="122">
        <f>$H$5</f>
        <v/>
      </c>
      <c r="I115" s="120" t="n"/>
      <c r="J115" s="120" t="n"/>
      <c r="K115" s="120" t="n"/>
      <c r="L115" s="120">
        <f>$L$5</f>
        <v/>
      </c>
      <c r="M115" s="121" t="n"/>
      <c r="N115" s="165" t="n"/>
    </row>
    <row r="116" ht="15" customHeight="1" thickBot="1">
      <c r="A116" s="4">
        <f>IF(F116='1. Configuration'!$C$12,"",IF((G116='1. Configuration'!$C$51),(IF(D116&gt;0,(IF(COUNTIF($D$6:D115,D116)&gt;0,"",MAX($A$6:A115)+1)),"")),""))</f>
        <v/>
      </c>
      <c r="B116" s="4">
        <f t="array" ref="B116">IF((F116='1. Configuration'!$B$12),(IF(D116&gt;0,(IF(COUNTIF($D$6:D115,D116)&gt;0,"",MAX($B$6:B115)+1)),"")),"")</f>
        <v/>
      </c>
      <c r="C116" s="51">
        <f>'1. Configuration'!B34</f>
        <v/>
      </c>
      <c r="D116" s="123">
        <f>$D$6</f>
        <v/>
      </c>
      <c r="E116" s="124">
        <f>$E$6</f>
        <v/>
      </c>
      <c r="F116" s="124">
        <f>$F$6</f>
        <v/>
      </c>
      <c r="G116" s="125">
        <f>$G$6</f>
        <v/>
      </c>
      <c r="H116" s="126">
        <f>$H$6</f>
        <v/>
      </c>
      <c r="I116" s="124" t="n"/>
      <c r="J116" s="124" t="n"/>
      <c r="K116" s="124" t="n"/>
      <c r="L116" s="124" t="inlineStr">
        <is>
          <t>Cachet</t>
        </is>
      </c>
      <c r="M116" s="127">
        <f>$M$6</f>
        <v/>
      </c>
      <c r="N116" s="162" t="n"/>
    </row>
    <row r="117">
      <c r="A117" s="4">
        <f>IF(F117='1. Configuration'!$C$12,"",IF((G117='1. Configuration'!$C$51),(IF(D117&gt;0,(IF(COUNTIF($D$6:D116,D117)&gt;0,"",MAX($A$6:A116)+1)),"")),""))</f>
        <v/>
      </c>
      <c r="B117" s="4">
        <f t="array" ref="B117">IF((F117='1. Configuration'!$B$12),(IF(D117&gt;0,(IF(COUNTIF($D$6:D116,D117)&gt;0,"",MAX($B$6:B116)+1)),"")),"")</f>
        <v/>
      </c>
      <c r="C117" s="4">
        <f>D117&amp;C$116</f>
        <v/>
      </c>
      <c r="D117" s="70" t="n"/>
      <c r="E117" s="134" t="n"/>
      <c r="F117" s="144">
        <f t="array" ref="F117">IFERROR(IF(INDEX('2. Collaborateurs·trices'!$A$6:$M$40,(MATCH('3. Prestations'!D117,'2. Collaborateurs·trices'!$C$6:$C$40,0)),8)=0,'1. Configuration'!$B$12,INDEX('2. Collaborateurs·trices'!$A$6:$M$40,(MATCH('3. Prestations'!D117,'2. Collaborateurs·trices'!$C$6:$C$40,0)),8)),'1. Configuration'!$B$12)</f>
        <v/>
      </c>
      <c r="G117" s="139">
        <f t="array" ref="G117">IFERROR(IF((INDEX('2. Collaborateurs·trices'!$A$6:$M$40,(MATCH('3. Prestations'!D117,'2. Collaborateurs·trices'!$C$6:$C$40,0)),10)=0),'1. Configuration'!$C$51,INDEX('2. Collaborateurs·trices'!$A$6:$M$40,(MATCH('3. Prestations'!D117,'2. Collaborateurs·trices'!$C$6:$C$40,0)),10)),IF(E117="","",'1. Configuration'!$C$51))</f>
        <v/>
      </c>
      <c r="H117" s="52">
        <f t="array" ref="H117">IFERROR(IF(AND(F117='1. Configuration'!$B$12,G117='1. Configuration'!$C$51),IF((F117='1. Configuration'!$B$12),(VLOOKUP(E117,'1. Configuration'!$A$13:$C$21,2,)),""),""),"")</f>
        <v/>
      </c>
      <c r="I117" s="53" t="n"/>
      <c r="J117" s="54" t="n"/>
      <c r="K117" s="55" t="n"/>
      <c r="L117" s="56">
        <f t="array" ref="L117">IFERROR(IF((F117='1. Configuration'!$C$12),(VLOOKUP(E117,'1. Configuration'!$A$13:$C$21,3,)),(IF((G117='1. Configuration'!$B$51),(VLOOKUP(E117,'1. Configuration'!$A$13:$C$21,2,)),""))),"")</f>
        <v/>
      </c>
      <c r="M117" s="73" t="n"/>
      <c r="N117" s="166" t="n"/>
    </row>
    <row r="118">
      <c r="A118" s="4">
        <f>IF(F118='1. Configuration'!$C$12,"",IF((G118='1. Configuration'!$C$51),(IF(D118&gt;0,(IF(COUNTIF($D$6:D117,D118)&gt;0,"",MAX($A$6:A117)+1)),"")),""))</f>
        <v/>
      </c>
      <c r="B118" s="4">
        <f t="array" ref="B118">IF((F118='1. Configuration'!$B$12),(IF(D118&gt;0,(IF(COUNTIF($D$6:D117,D118)&gt;0,"",MAX($B$6:B117)+1)),"")),"")</f>
        <v/>
      </c>
      <c r="C118" s="4">
        <f>D118&amp;C$116</f>
        <v/>
      </c>
      <c r="D118" s="71" t="n"/>
      <c r="E118" s="135" t="n"/>
      <c r="F118" s="143">
        <f t="array" ref="F118">IFERROR(IF(INDEX('2. Collaborateurs·trices'!$A$6:$M$40,(MATCH('3. Prestations'!D118,'2. Collaborateurs·trices'!$C$6:$C$40,0)),8)=0,'1. Configuration'!$B$12,INDEX('2. Collaborateurs·trices'!$A$6:$M$40,(MATCH('3. Prestations'!D118,'2. Collaborateurs·trices'!$C$6:$C$40,0)),8)),'1. Configuration'!$B$12)</f>
        <v/>
      </c>
      <c r="G118" s="140">
        <f t="array" ref="G118">IFERROR(IF((INDEX('2. Collaborateurs·trices'!$A$6:$M$40,(MATCH('3. Prestations'!D118,'2. Collaborateurs·trices'!$C$6:$C$40,0)),10)=0),'1. Configuration'!$C$51,INDEX('2. Collaborateurs·trices'!$A$6:$M$40,(MATCH('3. Prestations'!D118,'2. Collaborateurs·trices'!$C$6:$C$40,0)),10)),IF(E118="","",'1. Configuration'!$C$51))</f>
        <v/>
      </c>
      <c r="H118" s="57">
        <f t="array" ref="H118">IFERROR(IF(AND(F118='1. Configuration'!$B$12,G118='1. Configuration'!$C$51),IF((F118='1. Configuration'!$B$12),(VLOOKUP(E118,'1. Configuration'!$A$13:$C$21,2,)),""),""),"")</f>
        <v/>
      </c>
      <c r="I118" s="53" t="n"/>
      <c r="J118" s="54" t="n"/>
      <c r="K118" s="55" t="n"/>
      <c r="L118" s="58">
        <f t="array" ref="L118">IFERROR(IF((F118='1. Configuration'!$C$12),(VLOOKUP(E118,'1. Configuration'!$A$13:$C$21,3,)),(IF((G118='1. Configuration'!$B$51),(VLOOKUP(E118,'1. Configuration'!$A$13:$C$21,2,)),""))),"")</f>
        <v/>
      </c>
      <c r="M118" s="73" t="n"/>
      <c r="N118" s="167" t="n"/>
    </row>
    <row r="119">
      <c r="A119" s="4">
        <f>IF(F119='1. Configuration'!$C$12,"",IF((G119='1. Configuration'!$C$51),(IF(D119&gt;0,(IF(COUNTIF($D$6:D118,D119)&gt;0,"",MAX($A$6:A118)+1)),"")),""))</f>
        <v/>
      </c>
      <c r="B119" s="4">
        <f t="array" ref="B119">IF((F119='1. Configuration'!$B$12),(IF(D119&gt;0,(IF(COUNTIF($D$6:D118,D119)&gt;0,"",MAX($B$6:B118)+1)),"")),"")</f>
        <v/>
      </c>
      <c r="C119" s="4">
        <f>D119&amp;C$116</f>
        <v/>
      </c>
      <c r="D119" s="71" t="n"/>
      <c r="E119" s="135" t="n"/>
      <c r="F119" s="143">
        <f t="array" ref="F119">IFERROR(IF(INDEX('2. Collaborateurs·trices'!$A$6:$M$40,(MATCH('3. Prestations'!D119,'2. Collaborateurs·trices'!$C$6:$C$40,0)),8)=0,'1. Configuration'!$B$12,INDEX('2. Collaborateurs·trices'!$A$6:$M$40,(MATCH('3. Prestations'!D119,'2. Collaborateurs·trices'!$C$6:$C$40,0)),8)),'1. Configuration'!$B$12)</f>
        <v/>
      </c>
      <c r="G119" s="140">
        <f t="array" ref="G119">IFERROR(IF((INDEX('2. Collaborateurs·trices'!$A$6:$M$40,(MATCH('3. Prestations'!D119,'2. Collaborateurs·trices'!$C$6:$C$40,0)),10)=0),'1. Configuration'!$C$51,INDEX('2. Collaborateurs·trices'!$A$6:$M$40,(MATCH('3. Prestations'!D119,'2. Collaborateurs·trices'!$C$6:$C$40,0)),10)),IF(E119="","",'1. Configuration'!$C$51))</f>
        <v/>
      </c>
      <c r="H119" s="57">
        <f t="array" ref="H119">IFERROR(IF(AND(F119='1. Configuration'!$B$12,G119='1. Configuration'!$C$51),IF((F119='1. Configuration'!$B$12),(VLOOKUP(E119,'1. Configuration'!$A$13:$C$21,2,)),""),""),"")</f>
        <v/>
      </c>
      <c r="I119" s="53" t="n"/>
      <c r="J119" s="54" t="n"/>
      <c r="K119" s="55" t="n"/>
      <c r="L119" s="58">
        <f t="array" ref="L119">IFERROR(IF((F119='1. Configuration'!$C$12),(VLOOKUP(E119,'1. Configuration'!$A$13:$C$21,3,)),(IF((G119='1. Configuration'!$B$51),(VLOOKUP(E119,'1. Configuration'!$A$13:$C$21,2,)),""))),"")</f>
        <v/>
      </c>
      <c r="M119" s="73" t="n"/>
      <c r="N119" s="167" t="n"/>
    </row>
    <row r="120">
      <c r="A120" s="4">
        <f>IF(F120='1. Configuration'!$C$12,"",IF((G120='1. Configuration'!$C$51),(IF(D120&gt;0,(IF(COUNTIF($D$6:D119,D120)&gt;0,"",MAX($A$6:A119)+1)),"")),""))</f>
        <v/>
      </c>
      <c r="B120" s="4">
        <f t="array" ref="B120">IF((F120='1. Configuration'!$B$12),(IF(D120&gt;0,(IF(COUNTIF($D$6:D119,D120)&gt;0,"",MAX($B$6:B119)+1)),"")),"")</f>
        <v/>
      </c>
      <c r="C120" s="4">
        <f>D120&amp;C$116</f>
        <v/>
      </c>
      <c r="D120" s="71" t="n"/>
      <c r="E120" s="135" t="n"/>
      <c r="F120" s="143">
        <f t="array" ref="F120">IFERROR(IF(INDEX('2. Collaborateurs·trices'!$A$6:$M$40,(MATCH('3. Prestations'!D120,'2. Collaborateurs·trices'!$C$6:$C$40,0)),8)=0,'1. Configuration'!$B$12,INDEX('2. Collaborateurs·trices'!$A$6:$M$40,(MATCH('3. Prestations'!D120,'2. Collaborateurs·trices'!$C$6:$C$40,0)),8)),"")</f>
        <v/>
      </c>
      <c r="G120" s="140">
        <f t="array" ref="G120">IFERROR(IF((INDEX('2. Collaborateurs·trices'!$A$6:$M$40,(MATCH('3. Prestations'!D120,'2. Collaborateurs·trices'!$C$6:$C$40,0)),10)=0),'1. Configuration'!$C$51,INDEX('2. Collaborateurs·trices'!$A$6:$M$40,(MATCH('3. Prestations'!D120,'2. Collaborateurs·trices'!$C$6:$C$40,0)),10)),IF(E120="","",'1. Configuration'!$C$51))</f>
        <v/>
      </c>
      <c r="H120" s="57">
        <f t="array" ref="H120">IFERROR(IF(AND(F120='1. Configuration'!$B$12,G120='1. Configuration'!$C$51),IF((F120='1. Configuration'!$B$12),(VLOOKUP(E120,'1. Configuration'!$A$13:$C$21,2,)),""),""),"")</f>
        <v/>
      </c>
      <c r="I120" s="53" t="n"/>
      <c r="J120" s="54" t="n"/>
      <c r="K120" s="55" t="n"/>
      <c r="L120" s="58">
        <f t="array" ref="L120">IFERROR(IF((F120='1. Configuration'!$C$12),(VLOOKUP(E120,'1. Configuration'!$A$13:$C$21,3,)),(IF((G120='1. Configuration'!$B$51),(VLOOKUP(E120,'1. Configuration'!$A$13:$C$21,2,)),""))),"")</f>
        <v/>
      </c>
      <c r="M120" s="73" t="n"/>
      <c r="N120" s="167" t="n"/>
    </row>
    <row r="121">
      <c r="A121" s="4">
        <f>IF(F121='1. Configuration'!$C$12,"",IF((G121='1. Configuration'!$C$51),(IF(D121&gt;0,(IF(COUNTIF($D$6:D120,D121)&gt;0,"",MAX($A$6:A120)+1)),"")),""))</f>
        <v/>
      </c>
      <c r="B121" s="4">
        <f t="array" ref="B121">IF((F121='1. Configuration'!$B$12),(IF(D121&gt;0,(IF(COUNTIF($D$6:D120,D121)&gt;0,"",MAX($B$6:B120)+1)),"")),"")</f>
        <v/>
      </c>
      <c r="C121" s="4">
        <f>D121&amp;C$116</f>
        <v/>
      </c>
      <c r="D121" s="71" t="n"/>
      <c r="E121" s="135" t="n"/>
      <c r="F121" s="143">
        <f t="array" ref="F121">IFERROR(IF(INDEX('2. Collaborateurs·trices'!$A$6:$M$40,(MATCH('3. Prestations'!D121,'2. Collaborateurs·trices'!$C$6:$C$40,0)),8)=0,'1. Configuration'!$B$12,INDEX('2. Collaborateurs·trices'!$A$6:$M$40,(MATCH('3. Prestations'!D121,'2. Collaborateurs·trices'!$C$6:$C$40,0)),8)),"")</f>
        <v/>
      </c>
      <c r="G121" s="140">
        <f t="array" ref="G121">IFERROR(IF((INDEX('2. Collaborateurs·trices'!$A$6:$M$40,(MATCH('3. Prestations'!D121,'2. Collaborateurs·trices'!$C$6:$C$40,0)),10)=0),'1. Configuration'!$C$51,INDEX('2. Collaborateurs·trices'!$A$6:$M$40,(MATCH('3. Prestations'!D121,'2. Collaborateurs·trices'!$C$6:$C$40,0)),10)),IF(E121="","",'1. Configuration'!$C$51))</f>
        <v/>
      </c>
      <c r="H121" s="57">
        <f t="array" ref="H121">IFERROR(IF(AND(F121='1. Configuration'!$B$12,G121='1. Configuration'!$C$51),IF((F121='1. Configuration'!$B$12),(VLOOKUP(E121,'1. Configuration'!$A$13:$C$21,2,)),""),""),"")</f>
        <v/>
      </c>
      <c r="I121" s="53" t="n"/>
      <c r="J121" s="54" t="n"/>
      <c r="K121" s="55" t="n"/>
      <c r="L121" s="58">
        <f t="array" ref="L121">IFERROR(IF((F121='1. Configuration'!$C$12),(VLOOKUP(E121,'1. Configuration'!$A$13:$C$21,3,)),(IF((G121='1. Configuration'!$B$51),(VLOOKUP(E121,'1. Configuration'!$A$13:$C$21,2,)),""))),"")</f>
        <v/>
      </c>
      <c r="M121" s="73" t="n"/>
      <c r="N121" s="167" t="n"/>
    </row>
    <row r="122">
      <c r="A122" s="4">
        <f>IF(F122='1. Configuration'!$C$12,"",IF((G122='1. Configuration'!$C$51),(IF(D122&gt;0,(IF(COUNTIF($D$6:D121,D122)&gt;0,"",MAX($A$6:A121)+1)),"")),""))</f>
        <v/>
      </c>
      <c r="B122" s="4">
        <f t="array" ref="B122">IF((F122='1. Configuration'!$B$12),(IF(D122&gt;0,(IF(COUNTIF($D$6:D121,D122)&gt;0,"",MAX($B$6:B121)+1)),"")),"")</f>
        <v/>
      </c>
      <c r="C122" s="4">
        <f>D122&amp;C$116</f>
        <v/>
      </c>
      <c r="D122" s="71" t="n"/>
      <c r="E122" s="135" t="n"/>
      <c r="F122" s="143">
        <f t="array" ref="F122">IFERROR(IF(INDEX('2. Collaborateurs·trices'!$A$6:$M$40,(MATCH('3. Prestations'!D122,'2. Collaborateurs·trices'!$C$6:$C$40,0)),8)=0,'1. Configuration'!$B$12,INDEX('2. Collaborateurs·trices'!$A$6:$M$40,(MATCH('3. Prestations'!D122,'2. Collaborateurs·trices'!$C$6:$C$40,0)),8)),"")</f>
        <v/>
      </c>
      <c r="G122" s="140">
        <f t="array" ref="G122">IFERROR(IF((INDEX('2. Collaborateurs·trices'!$A$6:$M$40,(MATCH('3. Prestations'!D122,'2. Collaborateurs·trices'!$C$6:$C$40,0)),10)=0),'1. Configuration'!$C$51,INDEX('2. Collaborateurs·trices'!$A$6:$M$40,(MATCH('3. Prestations'!D122,'2. Collaborateurs·trices'!$C$6:$C$40,0)),10)),IF(E122="","",'1. Configuration'!$C$51))</f>
        <v/>
      </c>
      <c r="H122" s="57">
        <f t="array" ref="H122">IFERROR(IF(AND(F122='1. Configuration'!$B$12,G122='1. Configuration'!$C$51),IF((F122='1. Configuration'!$B$12),(VLOOKUP(E122,'1. Configuration'!$A$13:$C$21,2,)),""),""),"")</f>
        <v/>
      </c>
      <c r="I122" s="53" t="n"/>
      <c r="J122" s="54" t="n"/>
      <c r="K122" s="55" t="n"/>
      <c r="L122" s="58">
        <f t="array" ref="L122">IFERROR(IF((F122='1. Configuration'!$C$12),(VLOOKUP(E122,'1. Configuration'!$A$13:$C$21,3,)),(IF((G122='1. Configuration'!$B$51),(VLOOKUP(E122,'1. Configuration'!$A$13:$C$21,2,)),""))),"")</f>
        <v/>
      </c>
      <c r="M122" s="73" t="n"/>
      <c r="N122" s="167" t="n"/>
    </row>
    <row r="123">
      <c r="A123" s="4">
        <f>IF(F123='1. Configuration'!$C$12,"",IF((G123='1. Configuration'!$C$51),(IF(D123&gt;0,(IF(COUNTIF($D$6:D122,D123)&gt;0,"",MAX($A$6:A122)+1)),"")),""))</f>
        <v/>
      </c>
      <c r="B123" s="4">
        <f t="array" ref="B123">IF((F123='1. Configuration'!$B$12),(IF(D123&gt;0,(IF(COUNTIF($D$6:D122,D123)&gt;0,"",MAX($B$6:B122)+1)),"")),"")</f>
        <v/>
      </c>
      <c r="C123" s="4">
        <f>D123&amp;C$116</f>
        <v/>
      </c>
      <c r="D123" s="71" t="n"/>
      <c r="E123" s="135" t="n"/>
      <c r="F123" s="143">
        <f t="array" ref="F123">IFERROR(IF(INDEX('2. Collaborateurs·trices'!$A$6:$M$40,(MATCH('3. Prestations'!D123,'2. Collaborateurs·trices'!$C$6:$C$40,0)),8)=0,'1. Configuration'!$B$12,INDEX('2. Collaborateurs·trices'!$A$6:$M$40,(MATCH('3. Prestations'!D123,'2. Collaborateurs·trices'!$C$6:$C$40,0)),8)),"")</f>
        <v/>
      </c>
      <c r="G123" s="140">
        <f t="array" ref="G123">IFERROR(IF((INDEX('2. Collaborateurs·trices'!$A$6:$M$40,(MATCH('3. Prestations'!D123,'2. Collaborateurs·trices'!$C$6:$C$40,0)),10)=0),'1. Configuration'!$C$51,INDEX('2. Collaborateurs·trices'!$A$6:$M$40,(MATCH('3. Prestations'!D123,'2. Collaborateurs·trices'!$C$6:$C$40,0)),10)),IF(E123="","",'1. Configuration'!$C$51))</f>
        <v/>
      </c>
      <c r="H123" s="57">
        <f t="array" ref="H123">IFERROR(IF(AND(F123='1. Configuration'!$B$12,G123='1. Configuration'!$C$51),IF((F123='1. Configuration'!$B$12),(VLOOKUP(E123,'1. Configuration'!$A$13:$C$21,2,)),""),""),"")</f>
        <v/>
      </c>
      <c r="I123" s="53" t="n"/>
      <c r="J123" s="54" t="n"/>
      <c r="K123" s="55" t="n"/>
      <c r="L123" s="58">
        <f t="array" ref="L123">IFERROR(IF((F123='1. Configuration'!$C$12),(VLOOKUP(E123,'1. Configuration'!$A$13:$C$21,3,)),(IF((G123='1. Configuration'!$B$51),(VLOOKUP(E123,'1. Configuration'!$A$13:$C$21,2,)),""))),"")</f>
        <v/>
      </c>
      <c r="M123" s="73" t="n"/>
      <c r="N123" s="167" t="n"/>
    </row>
    <row r="124" ht="15" customHeight="1" thickBot="1">
      <c r="A124" s="4">
        <f>IF(F124='1. Configuration'!$C$12,"",IF((G124='1. Configuration'!$C$51),(IF(D124&gt;0,(IF(COUNTIF($D$6:D123,D124)&gt;0,"",MAX($A$6:A123)+1)),"")),""))</f>
        <v/>
      </c>
      <c r="B124" s="4">
        <f t="array" ref="B124">IF((F124='1. Configuration'!$B$12),(IF(D124&gt;0,(IF(COUNTIF($D$6:D123,D124)&gt;0,"",MAX($B$6:B123)+1)),"")),"")</f>
        <v/>
      </c>
      <c r="C124" s="4">
        <f>D124&amp;C$116</f>
        <v/>
      </c>
      <c r="D124" s="72" t="n"/>
      <c r="E124" s="136" t="n"/>
      <c r="F124" s="145">
        <f t="array" ref="F124">IFERROR(IF(INDEX('2. Collaborateurs·trices'!$A$6:$M$40,(MATCH('3. Prestations'!D124,'2. Collaborateurs·trices'!$C$6:$C$40,0)),8)=0,'1. Configuration'!$B$12,INDEX('2. Collaborateurs·trices'!$A$6:$M$40,(MATCH('3. Prestations'!D124,'2. Collaborateurs·trices'!$C$6:$C$40,0)),8)),"")</f>
        <v/>
      </c>
      <c r="G124" s="141">
        <f t="array" ref="G124">IFERROR(IF((INDEX('2. Collaborateurs·trices'!$A$6:$M$40,(MATCH('3. Prestations'!D124,'2. Collaborateurs·trices'!$C$6:$C$40,0)),10)=0),'1. Configuration'!$C$51,INDEX('2. Collaborateurs·trices'!$A$6:$M$40,(MATCH('3. Prestations'!D124,'2. Collaborateurs·trices'!$C$6:$C$40,0)),10)),IF(E124="","",'1. Configuration'!$C$51))</f>
        <v/>
      </c>
      <c r="H124" s="59">
        <f t="array" ref="H124">IFERROR(IF(AND(F124='1. Configuration'!$B$12,G124='1. Configuration'!$C$51),IF((F124='1. Configuration'!$B$12),(VLOOKUP(E124,'1. Configuration'!$A$13:$C$21,2,)),""),""),"")</f>
        <v/>
      </c>
      <c r="I124" s="60" t="n"/>
      <c r="J124" s="61" t="n"/>
      <c r="K124" s="62" t="n"/>
      <c r="L124" s="63">
        <f t="array" ref="L124">IFERROR(IF((F124='1. Configuration'!$C$12),(VLOOKUP(E124,'1. Configuration'!$A$13:$C$21,3,)),(IF((G124='1. Configuration'!$B$51),(VLOOKUP(E124,'1. Configuration'!$A$13:$C$21,2,)),""))),"")</f>
        <v/>
      </c>
      <c r="M124" s="74" t="n"/>
      <c r="N124" s="168" t="n"/>
    </row>
    <row r="125" ht="15" customHeight="1" thickBot="1">
      <c r="A125" s="4">
        <f>IF(F125='1. Configuration'!$C$12,"",IF((G125='1. Configuration'!$C$51),(IF(D125&gt;0,(IF(COUNTIF($D$6:D124,D125)&gt;0,"",MAX($A$6:A124)+1)),"")),""))</f>
        <v/>
      </c>
      <c r="B125" s="4">
        <f t="array" ref="B125">IF((F125='1. Configuration'!$B$12),(IF(D125&gt;0,(IF(COUNTIF($D$6:D124,D125)&gt;0,"",MAX($B$6:B124)+1)),"")),"")</f>
        <v/>
      </c>
    </row>
    <row r="126">
      <c r="A126" s="4">
        <f>IF(F126='1. Configuration'!$C$12,"",IF((G126='1. Configuration'!$C$51),(IF(D126&gt;0,(IF(COUNTIF($D$6:D125,D126)&gt;0,"",MAX($A$6:A125)+1)),"")),""))</f>
        <v/>
      </c>
      <c r="B126" s="4">
        <f t="array" ref="B126">IF((F126='1. Configuration'!$B$12),(IF(D126&gt;0,(IF(COUNTIF($D$6:D125,D126)&gt;0,"",MAX($B$6:B125)+1)),"")),"")</f>
        <v/>
      </c>
      <c r="D126" s="117">
        <f>TEXT(DAY('1. Configuration'!B35),"00")&amp;"."&amp;TEXT(MONTH('1. Configuration'!B35),"00")&amp;"."&amp;TEXT(YEAR('1. Configuration'!B35),"00")&amp;" | "&amp;'1. Configuration'!A35</f>
        <v/>
      </c>
      <c r="E126" s="118" t="n"/>
      <c r="F126" s="118" t="n"/>
      <c r="G126" s="119" t="n"/>
      <c r="H126" s="122">
        <f>$H$5</f>
        <v/>
      </c>
      <c r="I126" s="120" t="n"/>
      <c r="J126" s="120" t="n"/>
      <c r="K126" s="120" t="n"/>
      <c r="L126" s="120">
        <f>$L$5</f>
        <v/>
      </c>
      <c r="M126" s="121" t="n"/>
      <c r="N126" s="165" t="n"/>
    </row>
    <row r="127" ht="15" customHeight="1" thickBot="1">
      <c r="A127" s="4">
        <f>IF(F127='1. Configuration'!$C$12,"",IF((G127='1. Configuration'!$C$51),(IF(D127&gt;0,(IF(COUNTIF($D$6:D126,D127)&gt;0,"",MAX($A$6:A126)+1)),"")),""))</f>
        <v/>
      </c>
      <c r="B127" s="4">
        <f t="array" ref="B127">IF((F127='1. Configuration'!$B$12),(IF(D127&gt;0,(IF(COUNTIF($D$6:D126,D127)&gt;0,"",MAX($B$6:B126)+1)),"")),"")</f>
        <v/>
      </c>
      <c r="C127" s="51">
        <f>'1. Configuration'!B35</f>
        <v/>
      </c>
      <c r="D127" s="123">
        <f>$D$6</f>
        <v/>
      </c>
      <c r="E127" s="124">
        <f>$E$6</f>
        <v/>
      </c>
      <c r="F127" s="124">
        <f>$F$6</f>
        <v/>
      </c>
      <c r="G127" s="125">
        <f>$G$6</f>
        <v/>
      </c>
      <c r="H127" s="126">
        <f>$H$6</f>
        <v/>
      </c>
      <c r="I127" s="124" t="n"/>
      <c r="J127" s="124" t="n"/>
      <c r="K127" s="124" t="n"/>
      <c r="L127" s="124" t="inlineStr">
        <is>
          <t>Cachet</t>
        </is>
      </c>
      <c r="M127" s="127">
        <f>$M$6</f>
        <v/>
      </c>
      <c r="N127" s="162" t="n"/>
    </row>
    <row r="128">
      <c r="A128" s="4">
        <f>IF(F128='1. Configuration'!$C$12,"",IF((G128='1. Configuration'!$C$51),(IF(D128&gt;0,(IF(COUNTIF($D$6:D127,D128)&gt;0,"",MAX($A$6:A127)+1)),"")),""))</f>
        <v/>
      </c>
      <c r="B128" s="4">
        <f t="array" ref="B128">IF((F128='1. Configuration'!$B$12),(IF(D128&gt;0,(IF(COUNTIF($D$6:D127,D128)&gt;0,"",MAX($B$6:B127)+1)),"")),"")</f>
        <v/>
      </c>
      <c r="C128" s="4">
        <f>D128&amp;C$127</f>
        <v/>
      </c>
      <c r="D128" s="70" t="n"/>
      <c r="E128" s="134" t="n"/>
      <c r="F128" s="144">
        <f t="array" ref="F128">IFERROR(IF(INDEX('2. Collaborateurs·trices'!$A$6:$M$40,(MATCH('3. Prestations'!D128,'2. Collaborateurs·trices'!$C$6:$C$40,0)),8)=0,'1. Configuration'!$B$12,INDEX('2. Collaborateurs·trices'!$A$6:$M$40,(MATCH('3. Prestations'!D128,'2. Collaborateurs·trices'!$C$6:$C$40,0)),8)),'1. Configuration'!$B$12)</f>
        <v/>
      </c>
      <c r="G128" s="139">
        <f t="array" ref="G128">IFERROR(IF((INDEX('2. Collaborateurs·trices'!$A$6:$M$40,(MATCH('3. Prestations'!D128,'2. Collaborateurs·trices'!$C$6:$C$40,0)),10)=0),'1. Configuration'!$C$51,INDEX('2. Collaborateurs·trices'!$A$6:$M$40,(MATCH('3. Prestations'!D128,'2. Collaborateurs·trices'!$C$6:$C$40,0)),10)),IF(E128="","",'1. Configuration'!$C$51))</f>
        <v/>
      </c>
      <c r="H128" s="52">
        <f t="array" ref="H128">IFERROR(IF(AND(F128='1. Configuration'!$B$12,G128='1. Configuration'!$C$51),IF((F128='1. Configuration'!$B$12),(VLOOKUP(E128,'1. Configuration'!$A$13:$C$21,2,)),""),""),"")</f>
        <v/>
      </c>
      <c r="I128" s="53" t="n"/>
      <c r="J128" s="54" t="n"/>
      <c r="K128" s="55" t="n"/>
      <c r="L128" s="56">
        <f t="array" ref="L128">IFERROR(IF((F128='1. Configuration'!$C$12),(VLOOKUP(E128,'1. Configuration'!$A$13:$C$21,3,)),(IF((G128='1. Configuration'!$B$51),(VLOOKUP(E128,'1. Configuration'!$A$13:$C$21,2,)),""))),"")</f>
        <v/>
      </c>
      <c r="M128" s="73" t="n"/>
      <c r="N128" s="166" t="n"/>
    </row>
    <row r="129">
      <c r="A129" s="4">
        <f>IF(F129='1. Configuration'!$C$12,"",IF((G129='1. Configuration'!$C$51),(IF(D129&gt;0,(IF(COUNTIF($D$6:D128,D129)&gt;0,"",MAX($A$6:A128)+1)),"")),""))</f>
        <v/>
      </c>
      <c r="B129" s="4">
        <f t="array" ref="B129">IF((F129='1. Configuration'!$B$12),(IF(D129&gt;0,(IF(COUNTIF($D$6:D128,D129)&gt;0,"",MAX($B$6:B128)+1)),"")),"")</f>
        <v/>
      </c>
      <c r="C129" s="4">
        <f>D129&amp;C$127</f>
        <v/>
      </c>
      <c r="D129" s="71" t="n"/>
      <c r="E129" s="135" t="n"/>
      <c r="F129" s="143">
        <f t="array" ref="F129">IFERROR(IF(INDEX('2. Collaborateurs·trices'!$A$6:$M$40,(MATCH('3. Prestations'!D129,'2. Collaborateurs·trices'!$C$6:$C$40,0)),8)=0,'1. Configuration'!$B$12,INDEX('2. Collaborateurs·trices'!$A$6:$M$40,(MATCH('3. Prestations'!D129,'2. Collaborateurs·trices'!$C$6:$C$40,0)),8)),'1. Configuration'!$B$12)</f>
        <v/>
      </c>
      <c r="G129" s="140">
        <f t="array" ref="G129">IFERROR(IF((INDEX('2. Collaborateurs·trices'!$A$6:$M$40,(MATCH('3. Prestations'!D129,'2. Collaborateurs·trices'!$C$6:$C$40,0)),10)=0),'1. Configuration'!$C$51,INDEX('2. Collaborateurs·trices'!$A$6:$M$40,(MATCH('3. Prestations'!D129,'2. Collaborateurs·trices'!$C$6:$C$40,0)),10)),IF(E129="","",'1. Configuration'!$C$51))</f>
        <v/>
      </c>
      <c r="H129" s="57">
        <f t="array" ref="H129">IFERROR(IF(AND(F129='1. Configuration'!$B$12,G129='1. Configuration'!$C$51),IF((F129='1. Configuration'!$B$12),(VLOOKUP(E129,'1. Configuration'!$A$13:$C$21,2,)),""),""),"")</f>
        <v/>
      </c>
      <c r="I129" s="53" t="n"/>
      <c r="J129" s="54" t="n"/>
      <c r="K129" s="55" t="n"/>
      <c r="L129" s="58">
        <f t="array" ref="L129">IFERROR(IF((F129='1. Configuration'!$C$12),(VLOOKUP(E129,'1. Configuration'!$A$13:$C$21,3,)),(IF((G129='1. Configuration'!$B$51),(VLOOKUP(E129,'1. Configuration'!$A$13:$C$21,2,)),""))),"")</f>
        <v/>
      </c>
      <c r="M129" s="73" t="n"/>
      <c r="N129" s="167" t="n"/>
    </row>
    <row r="130">
      <c r="A130" s="4">
        <f>IF(F130='1. Configuration'!$C$12,"",IF((G130='1. Configuration'!$C$51),(IF(D130&gt;0,(IF(COUNTIF($D$6:D129,D130)&gt;0,"",MAX($A$6:A129)+1)),"")),""))</f>
        <v/>
      </c>
      <c r="B130" s="4">
        <f t="array" ref="B130">IF((F130='1. Configuration'!$B$12),(IF(D130&gt;0,(IF(COUNTIF($D$6:D129,D130)&gt;0,"",MAX($B$6:B129)+1)),"")),"")</f>
        <v/>
      </c>
      <c r="C130" s="4">
        <f>D130&amp;C$127</f>
        <v/>
      </c>
      <c r="D130" s="71" t="n"/>
      <c r="E130" s="135" t="n"/>
      <c r="F130" s="143">
        <f t="array" ref="F130">IFERROR(IF(INDEX('2. Collaborateurs·trices'!$A$6:$M$40,(MATCH('3. Prestations'!D130,'2. Collaborateurs·trices'!$C$6:$C$40,0)),8)=0,'1. Configuration'!$B$12,INDEX('2. Collaborateurs·trices'!$A$6:$M$40,(MATCH('3. Prestations'!D130,'2. Collaborateurs·trices'!$C$6:$C$40,0)),8)),'1. Configuration'!$B$12)</f>
        <v/>
      </c>
      <c r="G130" s="140">
        <f t="array" ref="G130">IFERROR(IF((INDEX('2. Collaborateurs·trices'!$A$6:$M$40,(MATCH('3. Prestations'!D130,'2. Collaborateurs·trices'!$C$6:$C$40,0)),10)=0),'1. Configuration'!$C$51,INDEX('2. Collaborateurs·trices'!$A$6:$M$40,(MATCH('3. Prestations'!D130,'2. Collaborateurs·trices'!$C$6:$C$40,0)),10)),IF(E130="","",'1. Configuration'!$C$51))</f>
        <v/>
      </c>
      <c r="H130" s="57">
        <f t="array" ref="H130">IFERROR(IF(AND(F130='1. Configuration'!$B$12,G130='1. Configuration'!$C$51),IF((F130='1. Configuration'!$B$12),(VLOOKUP(E130,'1. Configuration'!$A$13:$C$21,2,)),""),""),"")</f>
        <v/>
      </c>
      <c r="I130" s="53" t="n"/>
      <c r="J130" s="54" t="n"/>
      <c r="K130" s="55" t="n"/>
      <c r="L130" s="58">
        <f t="array" ref="L130">IFERROR(IF((F130='1. Configuration'!$C$12),(VLOOKUP(E130,'1. Configuration'!$A$13:$C$21,3,)),(IF((G130='1. Configuration'!$B$51),(VLOOKUP(E130,'1. Configuration'!$A$13:$C$21,2,)),""))),"")</f>
        <v/>
      </c>
      <c r="M130" s="73" t="n"/>
      <c r="N130" s="167" t="n"/>
    </row>
    <row r="131">
      <c r="A131" s="4">
        <f>IF(F131='1. Configuration'!$C$12,"",IF((G131='1. Configuration'!$C$51),(IF(D131&gt;0,(IF(COUNTIF($D$6:D130,D131)&gt;0,"",MAX($A$6:A130)+1)),"")),""))</f>
        <v/>
      </c>
      <c r="B131" s="4">
        <f t="array" ref="B131">IF((F131='1. Configuration'!$B$12),(IF(D131&gt;0,(IF(COUNTIF($D$6:D130,D131)&gt;0,"",MAX($B$6:B130)+1)),"")),"")</f>
        <v/>
      </c>
      <c r="C131" s="4">
        <f>D131&amp;C$127</f>
        <v/>
      </c>
      <c r="D131" s="71" t="n"/>
      <c r="E131" s="135" t="n"/>
      <c r="F131" s="143">
        <f t="array" ref="F131">IFERROR(IF(INDEX('2. Collaborateurs·trices'!$A$6:$M$40,(MATCH('3. Prestations'!D131,'2. Collaborateurs·trices'!$C$6:$C$40,0)),8)=0,'1. Configuration'!$B$12,INDEX('2. Collaborateurs·trices'!$A$6:$M$40,(MATCH('3. Prestations'!D131,'2. Collaborateurs·trices'!$C$6:$C$40,0)),8)),"")</f>
        <v/>
      </c>
      <c r="G131" s="140">
        <f t="array" ref="G131">IFERROR(IF((INDEX('2. Collaborateurs·trices'!$A$6:$M$40,(MATCH('3. Prestations'!D131,'2. Collaborateurs·trices'!$C$6:$C$40,0)),10)=0),'1. Configuration'!$C$51,INDEX('2. Collaborateurs·trices'!$A$6:$M$40,(MATCH('3. Prestations'!D131,'2. Collaborateurs·trices'!$C$6:$C$40,0)),10)),IF(E131="","",'1. Configuration'!$C$51))</f>
        <v/>
      </c>
      <c r="H131" s="57">
        <f t="array" ref="H131">IFERROR(IF(AND(F131='1. Configuration'!$B$12,G131='1. Configuration'!$C$51),IF((F131='1. Configuration'!$B$12),(VLOOKUP(E131,'1. Configuration'!$A$13:$C$21,2,)),""),""),"")</f>
        <v/>
      </c>
      <c r="I131" s="53" t="n"/>
      <c r="J131" s="54" t="n"/>
      <c r="K131" s="55" t="n"/>
      <c r="L131" s="58">
        <f t="array" ref="L131">IFERROR(IF((F131='1. Configuration'!$C$12),(VLOOKUP(E131,'1. Configuration'!$A$13:$C$21,3,)),(IF((G131='1. Configuration'!$B$51),(VLOOKUP(E131,'1. Configuration'!$A$13:$C$21,2,)),""))),"")</f>
        <v/>
      </c>
      <c r="M131" s="73" t="n"/>
      <c r="N131" s="167" t="n"/>
    </row>
    <row r="132">
      <c r="A132" s="4">
        <f>IF(F132='1. Configuration'!$C$12,"",IF((G132='1. Configuration'!$C$51),(IF(D132&gt;0,(IF(COUNTIF($D$6:D131,D132)&gt;0,"",MAX($A$6:A131)+1)),"")),""))</f>
        <v/>
      </c>
      <c r="B132" s="4">
        <f t="array" ref="B132">IF((F132='1. Configuration'!$B$12),(IF(D132&gt;0,(IF(COUNTIF($D$6:D131,D132)&gt;0,"",MAX($B$6:B131)+1)),"")),"")</f>
        <v/>
      </c>
      <c r="C132" s="4">
        <f>D132&amp;C$127</f>
        <v/>
      </c>
      <c r="D132" s="71" t="n"/>
      <c r="E132" s="135" t="n"/>
      <c r="F132" s="143">
        <f t="array" ref="F132">IFERROR(IF(INDEX('2. Collaborateurs·trices'!$A$6:$M$40,(MATCH('3. Prestations'!D132,'2. Collaborateurs·trices'!$C$6:$C$40,0)),8)=0,'1. Configuration'!$B$12,INDEX('2. Collaborateurs·trices'!$A$6:$M$40,(MATCH('3. Prestations'!D132,'2. Collaborateurs·trices'!$C$6:$C$40,0)),8)),"")</f>
        <v/>
      </c>
      <c r="G132" s="140">
        <f t="array" ref="G132">IFERROR(IF((INDEX('2. Collaborateurs·trices'!$A$6:$M$40,(MATCH('3. Prestations'!D132,'2. Collaborateurs·trices'!$C$6:$C$40,0)),10)=0),'1. Configuration'!$C$51,INDEX('2. Collaborateurs·trices'!$A$6:$M$40,(MATCH('3. Prestations'!D132,'2. Collaborateurs·trices'!$C$6:$C$40,0)),10)),IF(E132="","",'1. Configuration'!$C$51))</f>
        <v/>
      </c>
      <c r="H132" s="57">
        <f t="array" ref="H132">IFERROR(IF(AND(F132='1. Configuration'!$B$12,G132='1. Configuration'!$C$51),IF((F132='1. Configuration'!$B$12),(VLOOKUP(E132,'1. Configuration'!$A$13:$C$21,2,)),""),""),"")</f>
        <v/>
      </c>
      <c r="I132" s="53" t="n"/>
      <c r="J132" s="54" t="n"/>
      <c r="K132" s="55" t="n"/>
      <c r="L132" s="58">
        <f t="array" ref="L132">IFERROR(IF((F132='1. Configuration'!$C$12),(VLOOKUP(E132,'1. Configuration'!$A$13:$C$21,3,)),(IF((G132='1. Configuration'!$B$51),(VLOOKUP(E132,'1. Configuration'!$A$13:$C$21,2,)),""))),"")</f>
        <v/>
      </c>
      <c r="M132" s="73" t="n"/>
      <c r="N132" s="167" t="n"/>
    </row>
    <row r="133">
      <c r="A133" s="4">
        <f>IF(F133='1. Configuration'!$C$12,"",IF((G133='1. Configuration'!$C$51),(IF(D133&gt;0,(IF(COUNTIF($D$6:D132,D133)&gt;0,"",MAX($A$6:A132)+1)),"")),""))</f>
        <v/>
      </c>
      <c r="B133" s="4">
        <f t="array" ref="B133">IF((F133='1. Configuration'!$B$12),(IF(D133&gt;0,(IF(COUNTIF($D$6:D132,D133)&gt;0,"",MAX($B$6:B132)+1)),"")),"")</f>
        <v/>
      </c>
      <c r="C133" s="4">
        <f>D133&amp;C$127</f>
        <v/>
      </c>
      <c r="D133" s="71" t="n"/>
      <c r="E133" s="135" t="n"/>
      <c r="F133" s="143">
        <f t="array" ref="F133">IFERROR(IF(INDEX('2. Collaborateurs·trices'!$A$6:$M$40,(MATCH('3. Prestations'!D133,'2. Collaborateurs·trices'!$C$6:$C$40,0)),8)=0,'1. Configuration'!$B$12,INDEX('2. Collaborateurs·trices'!$A$6:$M$40,(MATCH('3. Prestations'!D133,'2. Collaborateurs·trices'!$C$6:$C$40,0)),8)),"")</f>
        <v/>
      </c>
      <c r="G133" s="140">
        <f t="array" ref="G133">IFERROR(IF((INDEX('2. Collaborateurs·trices'!$A$6:$M$40,(MATCH('3. Prestations'!D133,'2. Collaborateurs·trices'!$C$6:$C$40,0)),10)=0),'1. Configuration'!$C$51,INDEX('2. Collaborateurs·trices'!$A$6:$M$40,(MATCH('3. Prestations'!D133,'2. Collaborateurs·trices'!$C$6:$C$40,0)),10)),IF(E133="","",'1. Configuration'!$C$51))</f>
        <v/>
      </c>
      <c r="H133" s="57">
        <f t="array" ref="H133">IFERROR(IF(AND(F133='1. Configuration'!$B$12,G133='1. Configuration'!$C$51),IF((F133='1. Configuration'!$B$12),(VLOOKUP(E133,'1. Configuration'!$A$13:$C$21,2,)),""),""),"")</f>
        <v/>
      </c>
      <c r="I133" s="53" t="n"/>
      <c r="J133" s="54" t="n"/>
      <c r="K133" s="55" t="n"/>
      <c r="L133" s="58">
        <f t="array" ref="L133">IFERROR(IF((F133='1. Configuration'!$C$12),(VLOOKUP(E133,'1. Configuration'!$A$13:$C$21,3,)),(IF((G133='1. Configuration'!$B$51),(VLOOKUP(E133,'1. Configuration'!$A$13:$C$21,2,)),""))),"")</f>
        <v/>
      </c>
      <c r="M133" s="73" t="n"/>
      <c r="N133" s="167" t="n"/>
    </row>
    <row r="134">
      <c r="A134" s="4">
        <f>IF(F134='1. Configuration'!$C$12,"",IF((G134='1. Configuration'!$C$51),(IF(D134&gt;0,(IF(COUNTIF($D$6:D133,D134)&gt;0,"",MAX($A$6:A133)+1)),"")),""))</f>
        <v/>
      </c>
      <c r="B134" s="4">
        <f t="array" ref="B134">IF((F134='1. Configuration'!$B$12),(IF(D134&gt;0,(IF(COUNTIF($D$6:D133,D134)&gt;0,"",MAX($B$6:B133)+1)),"")),"")</f>
        <v/>
      </c>
      <c r="C134" s="4">
        <f>D134&amp;C$127</f>
        <v/>
      </c>
      <c r="D134" s="71" t="n"/>
      <c r="E134" s="135" t="n"/>
      <c r="F134" s="143">
        <f t="array" ref="F134">IFERROR(IF(INDEX('2. Collaborateurs·trices'!$A$6:$M$40,(MATCH('3. Prestations'!D134,'2. Collaborateurs·trices'!$C$6:$C$40,0)),8)=0,'1. Configuration'!$B$12,INDEX('2. Collaborateurs·trices'!$A$6:$M$40,(MATCH('3. Prestations'!D134,'2. Collaborateurs·trices'!$C$6:$C$40,0)),8)),"")</f>
        <v/>
      </c>
      <c r="G134" s="140">
        <f t="array" ref="G134">IFERROR(IF((INDEX('2. Collaborateurs·trices'!$A$6:$M$40,(MATCH('3. Prestations'!D134,'2. Collaborateurs·trices'!$C$6:$C$40,0)),10)=0),'1. Configuration'!$C$51,INDEX('2. Collaborateurs·trices'!$A$6:$M$40,(MATCH('3. Prestations'!D134,'2. Collaborateurs·trices'!$C$6:$C$40,0)),10)),IF(E134="","",'1. Configuration'!$C$51))</f>
        <v/>
      </c>
      <c r="H134" s="57">
        <f t="array" ref="H134">IFERROR(IF(AND(F134='1. Configuration'!$B$12,G134='1. Configuration'!$C$51),IF((F134='1. Configuration'!$B$12),(VLOOKUP(E134,'1. Configuration'!$A$13:$C$21,2,)),""),""),"")</f>
        <v/>
      </c>
      <c r="I134" s="53" t="n"/>
      <c r="J134" s="54" t="n"/>
      <c r="K134" s="55" t="n"/>
      <c r="L134" s="58">
        <f t="array" ref="L134">IFERROR(IF((F134='1. Configuration'!$C$12),(VLOOKUP(E134,'1. Configuration'!$A$13:$C$21,3,)),(IF((G134='1. Configuration'!$B$51),(VLOOKUP(E134,'1. Configuration'!$A$13:$C$21,2,)),""))),"")</f>
        <v/>
      </c>
      <c r="M134" s="73" t="n"/>
      <c r="N134" s="167" t="n"/>
    </row>
    <row r="135" ht="15" customHeight="1" thickBot="1">
      <c r="A135" s="4">
        <f>IF(F135='1. Configuration'!$C$12,"",IF((G135='1. Configuration'!$C$51),(IF(D135&gt;0,(IF(COUNTIF($D$6:D134,D135)&gt;0,"",MAX($A$6:A134)+1)),"")),""))</f>
        <v/>
      </c>
      <c r="B135" s="4">
        <f t="array" ref="B135">IF((F135='1. Configuration'!$B$12),(IF(D135&gt;0,(IF(COUNTIF($D$6:D134,D135)&gt;0,"",MAX($B$6:B134)+1)),"")),"")</f>
        <v/>
      </c>
      <c r="C135" s="4">
        <f>D135&amp;C$127</f>
        <v/>
      </c>
      <c r="D135" s="72" t="n"/>
      <c r="E135" s="136" t="n"/>
      <c r="F135" s="145">
        <f t="array" ref="F135">IFERROR(IF(INDEX('2. Collaborateurs·trices'!$A$6:$M$40,(MATCH('3. Prestations'!D135,'2. Collaborateurs·trices'!$C$6:$C$40,0)),8)=0,'1. Configuration'!$B$12,INDEX('2. Collaborateurs·trices'!$A$6:$M$40,(MATCH('3. Prestations'!D135,'2. Collaborateurs·trices'!$C$6:$C$40,0)),8)),"")</f>
        <v/>
      </c>
      <c r="G135" s="141">
        <f t="array" ref="G135">IFERROR(IF((INDEX('2. Collaborateurs·trices'!$A$6:$M$40,(MATCH('3. Prestations'!D135,'2. Collaborateurs·trices'!$C$6:$C$40,0)),10)=0),'1. Configuration'!$C$51,INDEX('2. Collaborateurs·trices'!$A$6:$M$40,(MATCH('3. Prestations'!D135,'2. Collaborateurs·trices'!$C$6:$C$40,0)),10)),IF(E135="","",'1. Configuration'!$C$51))</f>
        <v/>
      </c>
      <c r="H135" s="59">
        <f t="array" ref="H135">IFERROR(IF(AND(F135='1. Configuration'!$B$12,G135='1. Configuration'!$C$51),IF((F135='1. Configuration'!$B$12),(VLOOKUP(E135,'1. Configuration'!$A$13:$C$21,2,)),""),""),"")</f>
        <v/>
      </c>
      <c r="I135" s="60" t="n"/>
      <c r="J135" s="61" t="n"/>
      <c r="K135" s="62" t="n"/>
      <c r="L135" s="63">
        <f t="array" ref="L135">IFERROR(IF((F135='1. Configuration'!$C$12),(VLOOKUP(E135,'1. Configuration'!$A$13:$C$21,3,)),(IF((G135='1. Configuration'!$B$51),(VLOOKUP(E135,'1. Configuration'!$A$13:$C$21,2,)),""))),"")</f>
        <v/>
      </c>
      <c r="M135" s="74" t="n"/>
      <c r="N135" s="168" t="n"/>
    </row>
    <row r="137" hidden="1" ht="15" customHeight="1" thickBot="1">
      <c r="D137" s="64" t="inlineStr">
        <is>
          <t>Récapitulatif</t>
        </is>
      </c>
      <c r="E137" s="65" t="n"/>
      <c r="F137" s="65" t="n"/>
      <c r="G137" s="66" t="n"/>
      <c r="H137" s="67">
        <f>SUM(SUM(H95:H102))+(SUM(H84:H91))+(SUM(H73:H80))+(SUM(H62:H69))+(SUM(H51:H58))+(SUM(H40:H47))+(SUM(H29:H36))+(SUM(H18:H25))+(SUM(H7:H14))</f>
        <v/>
      </c>
      <c r="I137" s="65" t="n"/>
      <c r="J137" s="65" t="n"/>
      <c r="K137" s="68" t="n"/>
      <c r="L137" s="69">
        <f>SUM(SUM(L95:L102))+(SUM(L84:L91))+(SUM(L73:L80))+(SUM(L62:L69))+(SUM(L51:L58))+(SUM(L40:L47))+(SUM(L29:L36))+(SUM(L18:L25))+(SUM(L7:L14))</f>
        <v/>
      </c>
      <c r="M137" s="75">
        <f>SUM(SUM(M95:M102))+(SUM(M84:M91))+(SUM(M73:M80))+(SUM(M62:M69))+(SUM(M51:M58))+(SUM(M40:M47))+(SUM(M29:M36))+(SUM(M18:M25))+(SUM(M7:M14))</f>
        <v/>
      </c>
    </row>
  </sheetData>
  <sheetProtection selectLockedCells="1" selectUnlockedCells="0" algorithmName="SHA-512" sheet="1" objects="0" insertRows="1" insertHyperlinks="1" autoFilter="1" scenarios="0" formatColumns="1" deleteColumns="1" insertColumns="1" pivotTables="1" deleteRows="1" formatCells="1" saltValue="d3go+HDbIoy50y/8yXTjqw==" formatRows="1" sort="1" spinCount="100000" hashValue="ADN7bIwUX4EyQPkx0gko9ecINKH6cyPtE/KHqzZJFDHX7ohkhQheCpoELFO9Oi4+B7z6+4kWoOwVEw94Liu4MQ=="/>
  <pageMargins left="0.7" right="0.7" top="0.75" bottom="0.75" header="0.3" footer="0.3"/>
  <pageSetup orientation="portrait" paperSize="9" scale="41" horizontalDpi="0" verticalDpi="0"/>
</worksheet>
</file>

<file path=xl/worksheets/sheet5.xml><?xml version="1.0" encoding="utf-8"?>
<worksheet xmlns="http://schemas.openxmlformats.org/spreadsheetml/2006/main">
  <sheetPr>
    <outlinePr summaryBelow="1" summaryRight="1"/>
    <pageSetUpPr fitToPage="1"/>
  </sheetPr>
  <dimension ref="B1:O48"/>
  <sheetViews>
    <sheetView tabSelected="1" workbookViewId="0">
      <selection activeCell="B5" sqref="B5:C5"/>
    </sheetView>
  </sheetViews>
  <sheetFormatPr baseColWidth="10" defaultColWidth="9.1640625" defaultRowHeight="17" customHeight="1"/>
  <cols>
    <col width="1.6640625" customWidth="1" style="84" min="1" max="1"/>
    <col width="2.83203125" customWidth="1" style="84" min="2" max="2"/>
    <col width="34.5" customWidth="1" style="84" min="3" max="3"/>
    <col width="15.1640625" customWidth="1" style="84" min="4" max="4"/>
    <col width="17.83203125" customWidth="1" style="84" min="5" max="5"/>
    <col width="16" customWidth="1" style="84" min="6" max="6"/>
    <col width="3" customWidth="1" style="84" min="7" max="7"/>
    <col width="3.6640625" customWidth="1" style="84" min="8" max="8"/>
    <col width="20.33203125" bestFit="1" customWidth="1" style="84" min="9" max="9"/>
    <col width="9.1640625" customWidth="1" style="84" min="10" max="16384"/>
  </cols>
  <sheetData>
    <row r="1" ht="17" customHeight="1">
      <c r="E1" s="207">
        <f>IF(ISBLANK('1. Configuration'!B8),"",'1. Configuration'!B8)</f>
        <v/>
      </c>
      <c r="F1" s="237" t="n"/>
      <c r="G1" s="237" t="n"/>
    </row>
    <row r="2" ht="17" customHeight="1">
      <c r="B2" s="83" t="inlineStr">
        <is>
          <t>4. Fiches de salaire</t>
        </is>
      </c>
    </row>
    <row r="3" ht="17" customHeight="1">
      <c r="B3" s="85" t="inlineStr">
        <is>
          <t>Renseigner les cellules en couleur pour générer une fiche de salaire pouvant être imprimée.</t>
        </is>
      </c>
    </row>
    <row r="4" ht="28" customHeight="1">
      <c r="B4" s="86">
        <f>'2. Collaborateurs·trices'!C5</f>
        <v/>
      </c>
      <c r="C4" s="87" t="n"/>
      <c r="D4" s="87" t="n"/>
      <c r="E4" s="86" t="inlineStr">
        <is>
          <t>Séance</t>
        </is>
      </c>
      <c r="F4" s="87" t="n"/>
    </row>
    <row r="5" ht="17" customHeight="1">
      <c r="B5" s="203" t="inlineStr">
        <is>
          <t>Camille Exemple</t>
        </is>
      </c>
      <c r="C5" s="263" t="n"/>
      <c r="E5" s="204" t="n">
        <v>46039</v>
      </c>
      <c r="F5" s="263" t="n"/>
      <c r="G5" s="263" t="n"/>
    </row>
    <row r="7" ht="17" customHeight="1">
      <c r="B7" s="4" t="n"/>
      <c r="C7" s="4" t="n"/>
      <c r="D7" s="4" t="n"/>
      <c r="E7" s="4" t="n"/>
      <c r="F7" s="4" t="n"/>
      <c r="G7" s="4" t="n"/>
      <c r="I7" s="157" t="n"/>
    </row>
    <row r="8" ht="17" customHeight="1">
      <c r="B8" s="4" t="n"/>
      <c r="C8" s="4" t="n"/>
      <c r="D8" s="205">
        <f>IF(B5="","Sélectionner un collaborateur",IF(E5="","Sélectionner une séance",IF(OR(I16='1. Configuration'!C12),"Sélectionner un collaborateur salarié",IF(I17="","Vérifier que la case ''Déclaration AVS'' relative au collaborateur sélectionné est remplie dans l'onglet 2",IF(F25="","Aucune prestation effectuée par le collaborateur à la date sélectionnée","")))))</f>
        <v/>
      </c>
      <c r="E8" s="237" t="n"/>
      <c r="F8" s="237" t="n"/>
      <c r="G8" s="4" t="n"/>
      <c r="I8" s="157" t="n"/>
    </row>
    <row r="9" ht="27" customHeight="1">
      <c r="B9" s="4" t="n"/>
      <c r="C9" s="4" t="n"/>
      <c r="D9" s="237" t="n"/>
      <c r="E9" s="237" t="n"/>
      <c r="F9" s="237" t="n"/>
      <c r="G9" s="4" t="n"/>
      <c r="I9" s="157" t="n"/>
    </row>
    <row r="10" ht="17" customHeight="1">
      <c r="B10" s="4" t="n"/>
      <c r="C10" s="4" t="n"/>
      <c r="D10" s="237" t="n"/>
      <c r="E10" s="237" t="n"/>
      <c r="F10" s="237" t="n"/>
      <c r="G10" s="4" t="n"/>
      <c r="I10" s="157" t="n"/>
    </row>
    <row r="11" ht="17" customHeight="1">
      <c r="B11" s="4" t="n"/>
      <c r="C11" s="4">
        <f>IF('1. Configuration'!B8&gt;0,'1. Configuration'!B8,"")</f>
        <v/>
      </c>
      <c r="D11" s="4" t="n"/>
      <c r="E11" s="4" t="n"/>
      <c r="F11" s="4" t="n"/>
      <c r="G11" s="4" t="n"/>
      <c r="H11" s="207" t="n"/>
      <c r="I11" s="157" t="n"/>
    </row>
    <row r="12" ht="17" customHeight="1">
      <c r="B12" s="4" t="n"/>
      <c r="C12" s="4">
        <f>IF('1. Configuration'!B9&gt;0,'1. Configuration'!B9,"")</f>
        <v/>
      </c>
      <c r="D12" s="4" t="n"/>
      <c r="E12" s="4" t="n"/>
      <c r="F12" s="4" t="n"/>
      <c r="G12" s="4" t="n"/>
      <c r="H12" s="207" t="n"/>
      <c r="I12" s="157" t="n"/>
    </row>
    <row r="13" ht="17" customHeight="1">
      <c r="B13" s="4" t="n"/>
      <c r="C13" s="4">
        <f>IF('1. Configuration'!B10&gt;0,'1. Configuration'!B10,"")</f>
        <v/>
      </c>
      <c r="D13" s="4" t="n"/>
      <c r="E13" s="4">
        <f>IFERROR(INDEX('2. Collaborateurs·trices'!A6:M40, MATCH('4. Fiches de salaire'!B5,'2. Collaborateurs·trices'!C6:C40,0),3),"")</f>
        <v/>
      </c>
      <c r="F13" s="4" t="n"/>
      <c r="G13" s="4" t="n"/>
      <c r="I13" s="159" t="n"/>
    </row>
    <row r="14" ht="17" customHeight="1">
      <c r="B14" s="4" t="n"/>
      <c r="C14" s="4" t="n"/>
      <c r="D14" s="4" t="n"/>
      <c r="E14" s="4">
        <f t="array" ref="E14">IFERROR(INDEX('2. Collaborateurs·trices'!A6:M40, MATCH('4. Fiches de salaire'!B5,'2. Collaborateurs·trices'!C6:C40,0),4),"")</f>
        <v/>
      </c>
      <c r="F14" s="4" t="n"/>
      <c r="G14" s="4" t="n"/>
      <c r="I14" s="159" t="n"/>
    </row>
    <row r="15" ht="17" customHeight="1">
      <c r="B15" s="4" t="n"/>
      <c r="C15" s="5" t="n"/>
      <c r="D15" s="42" t="n"/>
      <c r="E15" s="4">
        <f t="array" ref="E15">IFERROR(INDEX('2. Collaborateurs·trices'!A6:M40, MATCH('4. Fiches de salaire'!B5,'2. Collaborateurs·trices'!C6:C40,0),5),"")</f>
        <v/>
      </c>
      <c r="F15" s="4" t="n"/>
      <c r="G15" s="4" t="n"/>
      <c r="H15" s="89" t="n"/>
      <c r="I15" s="160">
        <f>B5&amp;E5</f>
        <v/>
      </c>
    </row>
    <row r="16" ht="17" customHeight="1">
      <c r="B16" s="4" t="n"/>
      <c r="C16" s="5" t="n"/>
      <c r="D16" s="42" t="n"/>
      <c r="E16" s="4" t="n"/>
      <c r="F16" s="4" t="n"/>
      <c r="G16" s="4" t="n"/>
      <c r="H16" s="89" t="n"/>
      <c r="I16" s="159">
        <f t="array" ref="I16">IFERROR(INDEX('2. Collaborateurs·trices'!A6:M40, MATCH('4. Fiches de salaire'!B5,'2. Collaborateurs·trices'!C6:C40,0),8),"")</f>
        <v/>
      </c>
    </row>
    <row r="17" ht="17" customHeight="1">
      <c r="B17" s="4" t="n"/>
      <c r="C17" s="175">
        <f>IF(ISBLANK(INDEX('2. Collaborateurs·trices'!A6:M40, MATCH('4. Fiches de salaire'!B5,'2. Collaborateurs·trices'!C6:C40,0),12)),"",'2. Collaborateurs·trices'!L5&amp;": "&amp;(INDEX('2. Collaborateurs·trices'!A6:M40, MATCH('4. Fiches de salaire'!B5,'2. Collaborateurs·trices'!C6:C40,0),12)))</f>
        <v/>
      </c>
      <c r="D17" s="42" t="n"/>
      <c r="E17" s="4" t="n"/>
      <c r="F17" s="4" t="n"/>
      <c r="G17" s="4" t="n"/>
      <c r="I17" s="159">
        <f t="array" ref="I17">IFERROR(INDEX('2. Collaborateurs·trices'!A6:M40, MATCH('4. Fiches de salaire'!B5,'2. Collaborateurs·trices'!C6:C40,0),10),0)</f>
        <v/>
      </c>
    </row>
    <row r="18" ht="17" customHeight="1">
      <c r="B18" s="4" t="n"/>
      <c r="C18" s="176">
        <f>IF(ISBLANK(INDEX('2. Collaborateurs·trices'!A6:M40, MATCH('4. Fiches de salaire'!B5,'2. Collaborateurs·trices'!C6:C40,0),11)),"",'2. Collaborateurs·trices'!K5&amp;": "&amp;TEXT(DAY(INDEX('2. Collaborateurs·trices'!A6:M40, MATCH('4. Fiches de salaire'!B5,'2. Collaborateurs·trices'!C6:C40,0),11)),"00")&amp;"."&amp;TEXT(MONTH(INDEX('2. Collaborateurs·trices'!A6:M40, MATCH('4. Fiches de salaire'!B5,'2. Collaborateurs·trices'!C6:C40,0),11)),"00")&amp;"."&amp;TEXT(YEAR(INDEX('2. Collaborateurs·trices'!A6:M40, MATCH('4. Fiches de salaire'!B5,'2. Collaborateurs·trices'!C6:C40,0),11)),"0000"))</f>
        <v/>
      </c>
      <c r="D18" s="42" t="n"/>
      <c r="E18" s="4" t="n"/>
      <c r="F18" s="4" t="n"/>
      <c r="G18" s="4" t="n"/>
      <c r="I18" s="159" t="n"/>
    </row>
    <row r="19" ht="17" customHeight="1">
      <c r="B19" s="4" t="n"/>
      <c r="C19" s="176">
        <f>IFERROR('3. Prestations'!E6&amp;": "&amp;INDEX('3. Prestations'!C5:M136,MATCH('4. Fiches de salaire'!I15,'3. Prestations'!C5:C136,0),3),"")</f>
        <v/>
      </c>
      <c r="D19" s="42" t="n"/>
      <c r="E19" s="4" t="n"/>
      <c r="F19" s="4" t="n"/>
      <c r="G19" s="4" t="n"/>
      <c r="I19" s="159" t="n"/>
    </row>
    <row r="20" ht="17" customHeight="1">
      <c r="B20" s="4" t="n"/>
      <c r="C20" s="42" t="n"/>
      <c r="D20" s="42" t="n"/>
      <c r="E20" s="4" t="n"/>
      <c r="F20" s="4" t="n"/>
      <c r="G20" s="4" t="n"/>
      <c r="I20" s="157" t="n"/>
    </row>
    <row r="21" ht="17" customHeight="1">
      <c r="B21" s="4" t="n"/>
      <c r="C21" s="3">
        <f>"Fiche de salaire: séance du "&amp;IF(E5&gt;0,TEXT(DAY(E5),"00")&amp;"."&amp;TEXT(MONTH(E5),"00")&amp;"."&amp;TEXT(YEAR(E5),"00"),"")</f>
        <v/>
      </c>
      <c r="D21" s="42" t="n"/>
      <c r="E21" s="4" t="n"/>
      <c r="F21" s="4" t="n"/>
      <c r="G21" s="4" t="n"/>
      <c r="I21" s="157" t="n"/>
    </row>
    <row r="22" ht="17" customHeight="1">
      <c r="B22" s="4" t="n"/>
      <c r="C22" s="90" t="n"/>
      <c r="D22" s="42" t="n"/>
      <c r="E22" s="4" t="n"/>
      <c r="F22" s="4" t="n"/>
      <c r="G22" s="4" t="n"/>
      <c r="I22" s="157" t="n"/>
    </row>
    <row r="23" ht="17" customHeight="1">
      <c r="B23" s="4" t="n"/>
      <c r="C23" s="91" t="inlineStr">
        <is>
          <t>Position</t>
        </is>
      </c>
      <c r="D23" s="91" t="inlineStr">
        <is>
          <t>Facteur</t>
        </is>
      </c>
      <c r="E23" s="91" t="n"/>
      <c r="F23" s="91" t="inlineStr">
        <is>
          <t>Montant</t>
        </is>
      </c>
      <c r="G23" s="4" t="n"/>
      <c r="I23" s="157" t="n"/>
    </row>
    <row r="24" ht="17" customHeight="1">
      <c r="B24" s="4" t="n"/>
      <c r="C24" s="92" t="n"/>
      <c r="D24" s="92" t="n"/>
      <c r="E24" s="92" t="n"/>
      <c r="F24" s="92" t="n"/>
      <c r="G24" s="4" t="n"/>
      <c r="I24" s="157" t="n"/>
    </row>
    <row r="25" ht="17" customHeight="1">
      <c r="B25" s="4" t="n"/>
      <c r="C25" s="93" t="inlineStr">
        <is>
          <t>Salaire de base</t>
        </is>
      </c>
      <c r="D25" s="93" t="n"/>
      <c r="E25" s="92" t="n"/>
      <c r="F25" s="264">
        <f>IFERROR(SUM(IF(I17='1. Configuration'!$C$51,(INDEX('3. Prestations'!C5:M136,MATCH('4. Fiches de salaire'!I15,'3. Prestations'!C5:C136,0),6)),(INDEX('3. Prestations'!C5:M136,MATCH('4. Fiches de salaire'!I15,'3. Prestations'!C5:C136,0),10))),)/SUM(100%+D26),"")</f>
        <v/>
      </c>
      <c r="G25" s="4" t="n"/>
      <c r="I25" s="265" t="n"/>
    </row>
    <row r="26" ht="17" customHeight="1">
      <c r="B26" s="4" t="n"/>
      <c r="C26" s="95">
        <f>IF('1. Configuration'!A38="","",'1. Configuration'!A38)</f>
        <v/>
      </c>
      <c r="D26" s="96">
        <f>'1. Configuration'!B38</f>
        <v/>
      </c>
      <c r="E26" s="95" t="n"/>
      <c r="F26" s="266">
        <f>IFERROR(SUM(F25)*(D26),"")</f>
        <v/>
      </c>
      <c r="G26" s="4" t="n"/>
      <c r="I26" s="265" t="n"/>
    </row>
    <row r="27" ht="17" customHeight="1">
      <c r="B27" s="4" t="n"/>
      <c r="C27" s="93" t="inlineStr">
        <is>
          <t>Salaire brut</t>
        </is>
      </c>
      <c r="D27" s="93" t="n"/>
      <c r="E27" s="92" t="n"/>
      <c r="F27" s="267">
        <f>SUM(F25:F26)</f>
        <v/>
      </c>
      <c r="G27" s="4" t="n"/>
      <c r="I27" s="157" t="n"/>
    </row>
    <row r="28" ht="17" customHeight="1">
      <c r="B28" s="4" t="n"/>
      <c r="C28" s="92" t="n"/>
      <c r="D28" s="92" t="n"/>
      <c r="E28" s="92" t="n"/>
      <c r="F28" s="264" t="n"/>
      <c r="G28" s="4" t="n"/>
      <c r="I28" s="157" t="n"/>
      <c r="O28" s="177" t="n"/>
    </row>
    <row r="29" ht="17" customHeight="1">
      <c r="B29" s="4" t="n"/>
      <c r="C29" s="92">
        <f>IF('1. Configuration'!A39="","",'1. Configuration'!A39)</f>
        <v/>
      </c>
      <c r="D29" s="268">
        <f>IF($I$17='1. Configuration'!$B$51,0,'1. Configuration'!B39)</f>
        <v/>
      </c>
      <c r="E29" s="92" t="n"/>
      <c r="F29" s="264">
        <f>F27*D29</f>
        <v/>
      </c>
      <c r="G29" s="4" t="n"/>
      <c r="I29" s="158" t="n"/>
    </row>
    <row r="30" ht="17" customHeight="1">
      <c r="B30" s="4" t="n"/>
      <c r="C30" s="92">
        <f>IF('1. Configuration'!A40="","",'1. Configuration'!A40)</f>
        <v/>
      </c>
      <c r="D30" s="268">
        <f>IF($I$17='1. Configuration'!$B$51,0,'1. Configuration'!B40)</f>
        <v/>
      </c>
      <c r="E30" s="92" t="n"/>
      <c r="F30" s="264">
        <f>F27*D30</f>
        <v/>
      </c>
      <c r="G30" s="4" t="n"/>
      <c r="I30" s="158" t="n"/>
    </row>
    <row r="31" ht="17" customHeight="1">
      <c r="B31" s="4" t="n"/>
      <c r="C31" s="92">
        <f>IF('1. Configuration'!A41="","",'1. Configuration'!A41)</f>
        <v/>
      </c>
      <c r="D31" s="268">
        <f>IF($I$17='1. Configuration'!$B$51,0,'1. Configuration'!B41)</f>
        <v/>
      </c>
      <c r="E31" s="92" t="n"/>
      <c r="F31" s="264">
        <f>F27*D31</f>
        <v/>
      </c>
      <c r="G31" s="4" t="n"/>
      <c r="I31" s="158" t="n"/>
    </row>
    <row r="32" ht="17" customHeight="1">
      <c r="B32" s="4" t="n"/>
      <c r="C32" s="92">
        <f>IF('1. Configuration'!A42="","",'1. Configuration'!A42)</f>
        <v/>
      </c>
      <c r="D32" s="268">
        <f>IF($I$17='1. Configuration'!$B$51,0,'1. Configuration'!B42)</f>
        <v/>
      </c>
      <c r="E32" s="92" t="n"/>
      <c r="F32" s="264">
        <f>F27*D32</f>
        <v/>
      </c>
      <c r="G32" s="4" t="n"/>
      <c r="I32" s="158" t="n"/>
    </row>
    <row r="33" ht="17" customHeight="1">
      <c r="B33" s="4" t="n"/>
      <c r="C33" s="92" t="inlineStr">
        <is>
          <t>Cotisations LPP</t>
        </is>
      </c>
      <c r="D33" s="269">
        <f>IFERROR((INDEX('2. Collaborateurs·trices'!A6:M40,MATCH(B5,'2. Collaborateurs·trices'!C6:C40,0),9)),0)</f>
        <v/>
      </c>
      <c r="E33" s="92" t="n"/>
      <c r="F33" s="264">
        <f>F27*D33</f>
        <v/>
      </c>
      <c r="G33" s="4" t="n"/>
      <c r="I33" s="100" t="n"/>
    </row>
    <row r="34" ht="17" customHeight="1">
      <c r="B34" s="4" t="n"/>
      <c r="C34" s="92">
        <f>IF('1. Configuration'!A43="","",'1. Configuration'!A43)</f>
        <v/>
      </c>
      <c r="D34" s="268">
        <f>IF($I$17='1. Configuration'!$B$51,0,'1. Configuration'!B43)</f>
        <v/>
      </c>
      <c r="E34" s="92" t="n"/>
      <c r="F34" s="264">
        <f>F27*D34</f>
        <v/>
      </c>
      <c r="G34" s="4" t="n"/>
    </row>
    <row r="35" ht="17" customHeight="1">
      <c r="B35" s="4" t="n"/>
      <c r="C35" s="102">
        <f>IF('1. Configuration'!A44="","",'1. Configuration'!A44)</f>
        <v/>
      </c>
      <c r="D35" s="268">
        <f>IF($I$17='1. Configuration'!$B$51,0,'1. Configuration'!B44)</f>
        <v/>
      </c>
      <c r="E35" s="92" t="n"/>
      <c r="F35" s="264">
        <f>F27*D35</f>
        <v/>
      </c>
      <c r="G35" s="4" t="n"/>
    </row>
    <row r="36" ht="17" customHeight="1">
      <c r="B36" s="4" t="n"/>
      <c r="C36" s="102">
        <f>IF('1. Configuration'!A45="","",'1. Configuration'!A45)</f>
        <v/>
      </c>
      <c r="D36" s="268">
        <f>IF($I$17='1. Configuration'!$B$51,0,'1. Configuration'!B45)</f>
        <v/>
      </c>
      <c r="E36" s="92" t="n"/>
      <c r="F36" s="264">
        <f>F27*D36</f>
        <v/>
      </c>
      <c r="G36" s="4" t="n"/>
    </row>
    <row r="37" ht="17" customHeight="1">
      <c r="B37" s="4" t="n"/>
      <c r="C37" s="103" t="inlineStr">
        <is>
          <t>Total déductions</t>
        </is>
      </c>
      <c r="D37" s="104" t="n"/>
      <c r="E37" s="105" t="n"/>
      <c r="F37" s="270">
        <f>SUM(F29:F36)</f>
        <v/>
      </c>
      <c r="G37" s="4" t="n"/>
    </row>
    <row r="38" ht="17" customHeight="1">
      <c r="B38" s="4" t="n"/>
      <c r="C38" s="107" t="n"/>
      <c r="D38" s="108" t="n"/>
      <c r="E38" s="107" t="n"/>
      <c r="F38" s="107" t="n"/>
      <c r="G38" s="4" t="n"/>
    </row>
    <row r="39" ht="17" customHeight="1">
      <c r="B39" s="4" t="n"/>
      <c r="C39" s="93" t="inlineStr">
        <is>
          <t>Salaire net</t>
        </is>
      </c>
      <c r="D39" s="92" t="n"/>
      <c r="E39" s="92" t="n"/>
      <c r="F39" s="267">
        <f>F27-F37</f>
        <v/>
      </c>
      <c r="G39" s="4" t="n"/>
    </row>
    <row r="40" ht="17" customHeight="1">
      <c r="B40" s="4" t="n"/>
      <c r="C40" s="4" t="n"/>
      <c r="D40" s="4" t="n"/>
      <c r="E40" s="4" t="n"/>
      <c r="F40" s="4" t="n"/>
      <c r="G40" s="4" t="n"/>
    </row>
    <row r="41" ht="17" customHeight="1">
      <c r="B41" s="4" t="n"/>
      <c r="C41" s="95">
        <f>'3. Prestations'!M6</f>
        <v/>
      </c>
      <c r="D41" s="109" t="n"/>
      <c r="E41" s="95" t="n"/>
      <c r="F41" s="271">
        <f>IFERROR(INDEX('3. Prestations'!C5:M136,MATCH('4. Fiches de salaire'!I15,'3. Prestations'!C5:C136,0),11),"")</f>
        <v/>
      </c>
      <c r="G41" s="4" t="n"/>
    </row>
    <row r="42" ht="17" customHeight="1">
      <c r="B42" s="4" t="n"/>
      <c r="C42" s="93" t="inlineStr">
        <is>
          <t>Suppléments non-soumis à cotisations</t>
        </is>
      </c>
      <c r="D42" s="111" t="n"/>
      <c r="E42" s="92" t="n"/>
      <c r="F42" s="267">
        <f>SUM(F41:F41)</f>
        <v/>
      </c>
      <c r="G42" s="4" t="n"/>
    </row>
    <row r="43" ht="17" customHeight="1">
      <c r="B43" s="4" t="n"/>
      <c r="C43" s="4" t="n"/>
      <c r="D43" s="4" t="n"/>
      <c r="E43" s="4" t="n"/>
      <c r="F43" s="4" t="n"/>
      <c r="G43" s="4" t="n"/>
    </row>
    <row r="44" ht="17" customHeight="1">
      <c r="B44" s="4" t="n"/>
      <c r="C44" s="93">
        <f t="array" ref="C44">IFERROR("Total versé sur le compte "&amp;(INDEX('2. Collaborateurs·trices'!A6:M40,MATCH(B5,'2. Collaborateurs·trices'!C6:C40,0),13)),"")</f>
        <v/>
      </c>
      <c r="D44" s="111" t="n"/>
      <c r="E44" s="92" t="n"/>
      <c r="F44" s="272">
        <f>MROUND(SUM(F39+F42),0.05)</f>
        <v/>
      </c>
      <c r="G44" s="4" t="n"/>
    </row>
    <row r="45" ht="17" customHeight="1">
      <c r="B45" s="4" t="n"/>
      <c r="C45" s="4" t="n"/>
      <c r="D45" s="4" t="n"/>
      <c r="E45" s="4" t="n"/>
      <c r="F45" s="4" t="n"/>
      <c r="G45" s="4" t="n"/>
    </row>
    <row r="46" ht="17" customHeight="1">
      <c r="B46" s="4" t="n"/>
      <c r="C46" s="206" t="inlineStr">
        <is>
          <t>Remarque:</t>
        </is>
      </c>
      <c r="D46" s="263" t="n"/>
      <c r="E46" s="263" t="n"/>
      <c r="F46" s="4" t="n"/>
      <c r="G46" s="4" t="n"/>
    </row>
    <row r="47" ht="17" customHeight="1">
      <c r="B47" s="4" t="n"/>
      <c r="C47" s="4" t="n"/>
      <c r="D47" s="4" t="n"/>
      <c r="E47" s="4" t="n"/>
      <c r="F47" s="51">
        <f>TODAY()</f>
        <v/>
      </c>
      <c r="G47" s="4" t="n"/>
    </row>
    <row r="48" ht="17" customHeight="1">
      <c r="B48" s="4" t="n"/>
      <c r="C48" s="4" t="n"/>
      <c r="D48" s="4" t="n"/>
      <c r="E48" s="4" t="n"/>
      <c r="F48" s="4" t="n"/>
      <c r="G48" s="4" t="n"/>
    </row>
  </sheetData>
  <sheetProtection selectLockedCells="1" selectUnlockedCells="0" algorithmName="SHA-512" sheet="1" objects="0" insertRows="1" insertHyperlinks="1" autoFilter="1" scenarios="0" formatColumns="1" deleteColumns="1" insertColumns="1" pivotTables="1" deleteRows="1" formatCells="1" saltValue="msPKcy16N/qyv8H30ZTjEw==" formatRows="1" sort="1" spinCount="100000" hashValue="rvlb15xxqznnCL4f8xkChvWR1kv/KLCc8+pXbd9cI12zkyMBgKJwrDSiFa3tLXXKsAAETC7spds8azPRVQVRqg=="/>
  <mergeCells count="5">
    <mergeCell ref="E5:G5"/>
    <mergeCell ref="B5:C5"/>
    <mergeCell ref="C46:E46"/>
    <mergeCell ref="E1:G1"/>
    <mergeCell ref="D8:F10"/>
  </mergeCells>
  <conditionalFormatting sqref="C11:F39 C41:F42">
    <cfRule type="expression" priority="3" dxfId="2">
      <formula>IF($D$8="",0,1)</formula>
    </cfRule>
  </conditionalFormatting>
  <conditionalFormatting sqref="E14:E15">
    <cfRule type="cellIs" priority="1" operator="equal" dxfId="0">
      <formula>0</formula>
    </cfRule>
  </conditionalFormatting>
  <pageMargins left="0.7" right="0.7" top="0.75" bottom="0.75" header="0.3" footer="0.3"/>
  <pageSetup orientation="portrait" paperSize="9" scale="92" horizontalDpi="0" verticalDpi="0"/>
</worksheet>
</file>

<file path=xl/worksheets/sheet6.xml><?xml version="1.0" encoding="utf-8"?>
<worksheet xmlns="http://schemas.openxmlformats.org/spreadsheetml/2006/main">
  <sheetPr>
    <outlinePr summaryBelow="1" summaryRight="1"/>
    <pageSetUpPr fitToPage="1"/>
  </sheetPr>
  <dimension ref="A1:D41"/>
  <sheetViews>
    <sheetView workbookViewId="0">
      <selection activeCell="C24" sqref="C24"/>
    </sheetView>
  </sheetViews>
  <sheetFormatPr baseColWidth="10" defaultRowHeight="16"/>
  <cols>
    <col width="26" customWidth="1" style="7" min="1" max="1"/>
    <col width="30.83203125" customWidth="1" style="41" min="2" max="2"/>
    <col width="12.83203125" customWidth="1" style="41" min="3" max="3"/>
    <col width="23.83203125" customWidth="1" style="41" min="4" max="4"/>
    <col width="10.83203125" customWidth="1" style="41" min="5" max="16384"/>
  </cols>
  <sheetData>
    <row r="1">
      <c r="D1" s="236">
        <f>IF(ISBLANK('1. Configuration'!B8),"",'1. Configuration'!B8)</f>
        <v/>
      </c>
    </row>
    <row r="2" ht="19" customHeight="1">
      <c r="A2" s="6" t="inlineStr">
        <is>
          <t>5. Déclaration AVS</t>
        </is>
      </c>
    </row>
    <row r="3" ht="31" customHeight="1">
      <c r="A3" s="235" t="inlineStr">
        <is>
          <t>Récapitulatif utile à l'établissement de la déclaration annuelle des salaires à la caisse cantonale de compensation AVS .</t>
        </is>
      </c>
      <c r="B3" s="237" t="n"/>
      <c r="C3" s="237" t="n"/>
      <c r="D3" s="237" t="n"/>
    </row>
    <row r="4">
      <c r="A4" s="76" t="n"/>
    </row>
    <row r="5">
      <c r="A5" s="77">
        <f>'2. Collaborateurs·trices'!L5</f>
        <v/>
      </c>
      <c r="B5" s="78">
        <f>'2. Collaborateurs·trices'!C5</f>
        <v/>
      </c>
      <c r="C5" s="78">
        <f>'2. Collaborateurs·trices'!K5</f>
        <v/>
      </c>
      <c r="D5" s="78" t="inlineStr">
        <is>
          <t>Salaire brut</t>
        </is>
      </c>
    </row>
    <row r="6">
      <c r="A6" s="79">
        <f>IF(B6="","",(INDEX('2. Collaborateurs·trices'!$A$6:$M$40, MATCH('5. Déclaration AVS'!B6,'2. Collaborateurs·trices'!$C$6:$C$40,0),12)))</f>
        <v/>
      </c>
      <c r="B6" s="80">
        <f>IFERROR(VLOOKUP(ROWS($B$6:B6),'3. Prestations'!$A$6:$D$136,4,FALSE),"")</f>
        <v/>
      </c>
      <c r="C6" s="81">
        <f>IF(B6="","",(INDEX('2. Collaborateurs·trices'!$A$6:$M$40, MATCH('5. Déclaration AVS'!B6,'2. Collaborateurs·trices'!$C$6:$C$40,0),11)))</f>
        <v/>
      </c>
      <c r="D6" s="82">
        <f>IF(B6="","",(SUMIFS('3. Prestations'!$H$7:$H$136,'3. Prestations'!$D$7:$D$136,'5. Déclaration AVS'!B6)))</f>
        <v/>
      </c>
    </row>
    <row r="7">
      <c r="A7" s="79">
        <f>IF(B7="","",(INDEX('2. Collaborateurs·trices'!$A$6:$M$40, MATCH('5. Déclaration AVS'!B7,'2. Collaborateurs·trices'!$C$6:$C$40,0),12)))</f>
        <v/>
      </c>
      <c r="B7" s="80">
        <f>IFERROR(VLOOKUP(ROWS($B$6:B7),'3. Prestations'!$A$6:$D$136,4,FALSE),"")</f>
        <v/>
      </c>
      <c r="C7" s="81">
        <f>IF(B7="","",(INDEX('2. Collaborateurs·trices'!$A$6:$M$40, MATCH('5. Déclaration AVS'!B7,'2. Collaborateurs·trices'!$C$6:$C$40,0),11)))</f>
        <v/>
      </c>
      <c r="D7" s="82">
        <f>IF(B7="","",(SUMIFS('3. Prestations'!$H$7:$H$136,'3. Prestations'!$D$7:$D$136,'5. Déclaration AVS'!B7)))</f>
        <v/>
      </c>
    </row>
    <row r="8">
      <c r="A8" s="79">
        <f>IF(B8="","",(INDEX('2. Collaborateurs·trices'!$A$6:$M$40, MATCH('5. Déclaration AVS'!B8,'2. Collaborateurs·trices'!$C$6:$C$40,0),12)))</f>
        <v/>
      </c>
      <c r="B8" s="80">
        <f>IFERROR(VLOOKUP(ROWS($B$6:B8),'3. Prestations'!$A$6:$D$136,4,FALSE),"")</f>
        <v/>
      </c>
      <c r="C8" s="81">
        <f>IF(B8="","",(INDEX('2. Collaborateurs·trices'!$A$6:$M$40, MATCH('5. Déclaration AVS'!B8,'2. Collaborateurs·trices'!$C$6:$C$40,0),11)))</f>
        <v/>
      </c>
      <c r="D8" s="82">
        <f>IF(B8="","",(SUMIFS('3. Prestations'!$H$7:$H$136,'3. Prestations'!$D$7:$D$136,'5. Déclaration AVS'!B8)))</f>
        <v/>
      </c>
    </row>
    <row r="9">
      <c r="A9" s="79">
        <f>IF(B9="","",(INDEX('2. Collaborateurs·trices'!$A$6:$M$40, MATCH('5. Déclaration AVS'!B9,'2. Collaborateurs·trices'!$C$6:$C$40,0),12)))</f>
        <v/>
      </c>
      <c r="B9" s="80">
        <f>IFERROR(VLOOKUP(ROWS($B$6:B9),'3. Prestations'!$A$6:$D$136,4,FALSE),"")</f>
        <v/>
      </c>
      <c r="C9" s="81">
        <f>IF(B9="","",(INDEX('2. Collaborateurs·trices'!$A$6:$M$40, MATCH('5. Déclaration AVS'!B9,'2. Collaborateurs·trices'!$C$6:$C$40,0),11)))</f>
        <v/>
      </c>
      <c r="D9" s="82">
        <f>IF(B9="","",(SUMIFS('3. Prestations'!$H$7:$H$136,'3. Prestations'!$D$7:$D$136,'5. Déclaration AVS'!B9)))</f>
        <v/>
      </c>
    </row>
    <row r="10">
      <c r="A10" s="79">
        <f>IF(B10="","",(INDEX('2. Collaborateurs·trices'!$A$6:$M$40, MATCH('5. Déclaration AVS'!B10,'2. Collaborateurs·trices'!$C$6:$C$40,0),12)))</f>
        <v/>
      </c>
      <c r="B10" s="80">
        <f>IFERROR(VLOOKUP(ROWS($B$6:B10),'3. Prestations'!$A$6:$D$136,4,FALSE),"")</f>
        <v/>
      </c>
      <c r="C10" s="81">
        <f>IF(B10="","",(INDEX('2. Collaborateurs·trices'!$A$6:$M$40, MATCH('5. Déclaration AVS'!B10,'2. Collaborateurs·trices'!$C$6:$C$40,0),11)))</f>
        <v/>
      </c>
      <c r="D10" s="82">
        <f>IF(B10="","",(SUMIFS('3. Prestations'!$H$7:$H$136,'3. Prestations'!$D$7:$D$136,'5. Déclaration AVS'!B10)))</f>
        <v/>
      </c>
    </row>
    <row r="11">
      <c r="A11" s="79">
        <f>IF(B11="","",(INDEX('2. Collaborateurs·trices'!$A$6:$M$40, MATCH('5. Déclaration AVS'!B11,'2. Collaborateurs·trices'!$C$6:$C$40,0),12)))</f>
        <v/>
      </c>
      <c r="B11" s="80">
        <f>IFERROR(VLOOKUP(ROWS($B$6:B11),'3. Prestations'!$A$6:$D$136,4,FALSE),"")</f>
        <v/>
      </c>
      <c r="C11" s="81">
        <f>IF(B11="","",(INDEX('2. Collaborateurs·trices'!$A$6:$M$40, MATCH('5. Déclaration AVS'!B11,'2. Collaborateurs·trices'!$C$6:$C$40,0),11)))</f>
        <v/>
      </c>
      <c r="D11" s="82">
        <f>IF(B11="","",(SUMIFS('3. Prestations'!$H$7:$H$136,'3. Prestations'!$D$7:$D$136,'5. Déclaration AVS'!B11)))</f>
        <v/>
      </c>
    </row>
    <row r="12">
      <c r="A12" s="79">
        <f>IF(B12="","",(INDEX('2. Collaborateurs·trices'!$A$6:$M$40, MATCH('5. Déclaration AVS'!B12,'2. Collaborateurs·trices'!$C$6:$C$40,0),12)))</f>
        <v/>
      </c>
      <c r="B12" s="80">
        <f>IFERROR(VLOOKUP(ROWS($B$6:B12),'3. Prestations'!$A$6:$D$136,4,FALSE),"")</f>
        <v/>
      </c>
      <c r="C12" s="81">
        <f>IF(B12="","",(INDEX('2. Collaborateurs·trices'!$A$6:$M$40, MATCH('5. Déclaration AVS'!B12,'2. Collaborateurs·trices'!$C$6:$C$40,0),11)))</f>
        <v/>
      </c>
      <c r="D12" s="82">
        <f>IF(B12="","",(SUMIFS('3. Prestations'!$H$7:$H$136,'3. Prestations'!$D$7:$D$136,'5. Déclaration AVS'!B12)))</f>
        <v/>
      </c>
    </row>
    <row r="13">
      <c r="A13" s="79">
        <f>IF(B13="","",(INDEX('2. Collaborateurs·trices'!$A$6:$M$40, MATCH('5. Déclaration AVS'!B13,'2. Collaborateurs·trices'!$C$6:$C$40,0),12)))</f>
        <v/>
      </c>
      <c r="B13" s="80">
        <f>IFERROR(VLOOKUP(ROWS($B$6:B13),'3. Prestations'!$A$6:$D$136,4,FALSE),"")</f>
        <v/>
      </c>
      <c r="C13" s="81">
        <f>IF(B13="","",(INDEX('2. Collaborateurs·trices'!$A$6:$M$40, MATCH('5. Déclaration AVS'!B13,'2. Collaborateurs·trices'!$C$6:$C$40,0),11)))</f>
        <v/>
      </c>
      <c r="D13" s="82">
        <f>IF(B13="","",(SUMIFS('3. Prestations'!$H$7:$H$136,'3. Prestations'!$D$7:$D$136,'5. Déclaration AVS'!B13)))</f>
        <v/>
      </c>
    </row>
    <row r="14">
      <c r="A14" s="79">
        <f>IF(B14="","",(INDEX('2. Collaborateurs·trices'!$A$6:$M$40, MATCH('5. Déclaration AVS'!B14,'2. Collaborateurs·trices'!$C$6:$C$40,0),12)))</f>
        <v/>
      </c>
      <c r="B14" s="80">
        <f>IFERROR(VLOOKUP(ROWS($B$6:B14),'3. Prestations'!$A$6:$D$136,4,FALSE),"")</f>
        <v/>
      </c>
      <c r="C14" s="81">
        <f>IF(B14="","",(INDEX('2. Collaborateurs·trices'!$A$6:$M$40, MATCH('5. Déclaration AVS'!B14,'2. Collaborateurs·trices'!$C$6:$C$40,0),11)))</f>
        <v/>
      </c>
      <c r="D14" s="82">
        <f>IF(B14="","",(SUMIFS('3. Prestations'!$H$7:$H$136,'3. Prestations'!$D$7:$D$136,'5. Déclaration AVS'!B14)))</f>
        <v/>
      </c>
    </row>
    <row r="15">
      <c r="A15" s="79">
        <f>IF(B15="","",(INDEX('2. Collaborateurs·trices'!$A$6:$M$40, MATCH('5. Déclaration AVS'!B15,'2. Collaborateurs·trices'!$C$6:$C$40,0),12)))</f>
        <v/>
      </c>
      <c r="B15" s="80">
        <f>IFERROR(VLOOKUP(ROWS($B$6:B15),'3. Prestations'!$A$6:$D$136,4,FALSE),"")</f>
        <v/>
      </c>
      <c r="C15" s="81">
        <f>IF(B15="","",(INDEX('2. Collaborateurs·trices'!$A$6:$M$40, MATCH('5. Déclaration AVS'!B15,'2. Collaborateurs·trices'!$C$6:$C$40,0),11)))</f>
        <v/>
      </c>
      <c r="D15" s="82">
        <f>IF(B15="","",(SUMIFS('3. Prestations'!$H$7:$H$136,'3. Prestations'!$D$7:$D$136,'5. Déclaration AVS'!B15)))</f>
        <v/>
      </c>
    </row>
    <row r="16">
      <c r="A16" s="79">
        <f>IF(B16="","",(INDEX('2. Collaborateurs·trices'!$A$6:$M$40, MATCH('5. Déclaration AVS'!B16,'2. Collaborateurs·trices'!$C$6:$C$40,0),12)))</f>
        <v/>
      </c>
      <c r="B16" s="80">
        <f>IFERROR(VLOOKUP(ROWS($B$6:B16),'3. Prestations'!$A$6:$D$136,4,FALSE),"")</f>
        <v/>
      </c>
      <c r="C16" s="81">
        <f>IF(B16="","",(INDEX('2. Collaborateurs·trices'!$A$6:$M$40, MATCH('5. Déclaration AVS'!B16,'2. Collaborateurs·trices'!$C$6:$C$40,0),11)))</f>
        <v/>
      </c>
      <c r="D16" s="82">
        <f>IF(B16="","",(SUMIFS('3. Prestations'!$H$7:$H$136,'3. Prestations'!$D$7:$D$136,'5. Déclaration AVS'!B16)))</f>
        <v/>
      </c>
    </row>
    <row r="17">
      <c r="A17" s="79">
        <f>IF(B17="","",(INDEX('2. Collaborateurs·trices'!$A$6:$M$40, MATCH('5. Déclaration AVS'!B17,'2. Collaborateurs·trices'!$C$6:$C$40,0),12)))</f>
        <v/>
      </c>
      <c r="B17" s="80">
        <f>IFERROR(VLOOKUP(ROWS($B$6:B17),'3. Prestations'!$A$6:$D$136,4,FALSE),"")</f>
        <v/>
      </c>
      <c r="C17" s="81">
        <f>IF(B17="","",(INDEX('2. Collaborateurs·trices'!$A$6:$M$40, MATCH('5. Déclaration AVS'!B17,'2. Collaborateurs·trices'!$C$6:$C$40,0),11)))</f>
        <v/>
      </c>
      <c r="D17" s="82">
        <f>IF(B17="","",(SUMIFS('3. Prestations'!$H$7:$H$136,'3. Prestations'!$D$7:$D$136,'5. Déclaration AVS'!B17)))</f>
        <v/>
      </c>
    </row>
    <row r="18">
      <c r="A18" s="79">
        <f>IF(B18="","",(INDEX('2. Collaborateurs·trices'!$A$6:$M$40, MATCH('5. Déclaration AVS'!B18,'2. Collaborateurs·trices'!$C$6:$C$40,0),12)))</f>
        <v/>
      </c>
      <c r="B18" s="80">
        <f>IFERROR(VLOOKUP(ROWS($B$6:B18),'3. Prestations'!$A$6:$D$136,4,FALSE),"")</f>
        <v/>
      </c>
      <c r="C18" s="81">
        <f>IF(B18="","",(INDEX('2. Collaborateurs·trices'!$A$6:$M$40, MATCH('5. Déclaration AVS'!B18,'2. Collaborateurs·trices'!$C$6:$C$40,0),11)))</f>
        <v/>
      </c>
      <c r="D18" s="82">
        <f>IF(B18="","",(SUMIFS('3. Prestations'!$H$7:$H$136,'3. Prestations'!$D$7:$D$136,'5. Déclaration AVS'!B18)))</f>
        <v/>
      </c>
    </row>
    <row r="19">
      <c r="A19" s="79">
        <f>IF(B19="","",(INDEX('2. Collaborateurs·trices'!$A$6:$M$40, MATCH('5. Déclaration AVS'!B19,'2. Collaborateurs·trices'!$C$6:$C$40,0),12)))</f>
        <v/>
      </c>
      <c r="B19" s="80">
        <f>IFERROR(VLOOKUP(ROWS($B$6:B19),'3. Prestations'!$A$6:$D$136,4,FALSE),"")</f>
        <v/>
      </c>
      <c r="C19" s="81">
        <f>IF(B19="","",(INDEX('2. Collaborateurs·trices'!$A$6:$M$40, MATCH('5. Déclaration AVS'!B19,'2. Collaborateurs·trices'!$C$6:$C$40,0),11)))</f>
        <v/>
      </c>
      <c r="D19" s="82">
        <f>IF(B19="","",(SUMIFS('3. Prestations'!$H$7:$H$136,'3. Prestations'!$D$7:$D$136,'5. Déclaration AVS'!B19)))</f>
        <v/>
      </c>
    </row>
    <row r="20">
      <c r="A20" s="79">
        <f>IF(B20="","",(INDEX('2. Collaborateurs·trices'!$A$6:$M$40, MATCH('5. Déclaration AVS'!B20,'2. Collaborateurs·trices'!$C$6:$C$40,0),12)))</f>
        <v/>
      </c>
      <c r="B20" s="80">
        <f>IFERROR(VLOOKUP(ROWS($B$6:B20),'3. Prestations'!$A$6:$D$136,4,FALSE),"")</f>
        <v/>
      </c>
      <c r="C20" s="81">
        <f>IF(B20="","",(INDEX('2. Collaborateurs·trices'!$A$6:$M$40, MATCH('5. Déclaration AVS'!B20,'2. Collaborateurs·trices'!$C$6:$C$40,0),11)))</f>
        <v/>
      </c>
      <c r="D20" s="82">
        <f>IF(B20="","",(SUMIFS('3. Prestations'!$H$7:$H$136,'3. Prestations'!$D$7:$D$136,'5. Déclaration AVS'!B20)))</f>
        <v/>
      </c>
    </row>
    <row r="21">
      <c r="A21" s="79">
        <f>IF(B21="","",(INDEX('2. Collaborateurs·trices'!$A$6:$M$40, MATCH('5. Déclaration AVS'!B21,'2. Collaborateurs·trices'!$C$6:$C$40,0),12)))</f>
        <v/>
      </c>
      <c r="B21" s="80">
        <f>IFERROR(VLOOKUP(ROWS($B$6:B21),'3. Prestations'!$A$6:$D$136,4,FALSE),"")</f>
        <v/>
      </c>
      <c r="C21" s="81">
        <f>IF(B21="","",(INDEX('2. Collaborateurs·trices'!$A$6:$M$40, MATCH('5. Déclaration AVS'!B21,'2. Collaborateurs·trices'!$C$6:$C$40,0),11)))</f>
        <v/>
      </c>
      <c r="D21" s="82">
        <f>IF(B21="","",(SUMIFS('3. Prestations'!$H$7:$H$136,'3. Prestations'!$D$7:$D$136,'5. Déclaration AVS'!B21)))</f>
        <v/>
      </c>
    </row>
    <row r="22">
      <c r="A22" s="79">
        <f>IF(B22="","",(INDEX('2. Collaborateurs·trices'!$A$6:$M$40, MATCH('5. Déclaration AVS'!B22,'2. Collaborateurs·trices'!$C$6:$C$40,0),12)))</f>
        <v/>
      </c>
      <c r="B22" s="80">
        <f>IFERROR(VLOOKUP(ROWS($B$6:B22),'3. Prestations'!$A$6:$D$136,4,FALSE),"")</f>
        <v/>
      </c>
      <c r="C22" s="81">
        <f>IF(B22="","",(INDEX('2. Collaborateurs·trices'!$A$6:$M$40, MATCH('5. Déclaration AVS'!B22,'2. Collaborateurs·trices'!$C$6:$C$40,0),11)))</f>
        <v/>
      </c>
      <c r="D22" s="82">
        <f>IF(B22="","",(SUMIFS('3. Prestations'!$H$7:$H$136,'3. Prestations'!$D$7:$D$136,'5. Déclaration AVS'!B22)))</f>
        <v/>
      </c>
    </row>
    <row r="23">
      <c r="A23" s="79">
        <f>IF(B23="","",(INDEX('2. Collaborateurs·trices'!$A$6:$M$40, MATCH('5. Déclaration AVS'!B23,'2. Collaborateurs·trices'!$C$6:$C$40,0),12)))</f>
        <v/>
      </c>
      <c r="B23" s="80">
        <f>IFERROR(VLOOKUP(ROWS($B$6:B23),'3. Prestations'!$A$6:$D$136,4,FALSE),"")</f>
        <v/>
      </c>
      <c r="C23" s="81">
        <f>IF(B23="","",(INDEX('2. Collaborateurs·trices'!$A$6:$M$40, MATCH('5. Déclaration AVS'!B23,'2. Collaborateurs·trices'!$C$6:$C$40,0),11)))</f>
        <v/>
      </c>
      <c r="D23" s="82">
        <f>IF(B23="","",(SUMIFS('3. Prestations'!$H$7:$H$136,'3. Prestations'!$D$7:$D$136,'5. Déclaration AVS'!B23)))</f>
        <v/>
      </c>
    </row>
    <row r="24">
      <c r="A24" s="79">
        <f>IF(B24="","",(INDEX('2. Collaborateurs·trices'!$A$6:$M$40, MATCH('5. Déclaration AVS'!B24,'2. Collaborateurs·trices'!$C$6:$C$40,0),12)))</f>
        <v/>
      </c>
      <c r="B24" s="80">
        <f>IFERROR(VLOOKUP(ROWS($B$6:B24),'3. Prestations'!$A$6:$D$136,4,FALSE),"")</f>
        <v/>
      </c>
      <c r="C24" s="81">
        <f>IF(B24="","",(INDEX('2. Collaborateurs·trices'!$A$6:$M$40, MATCH('5. Déclaration AVS'!B24,'2. Collaborateurs·trices'!$C$6:$C$40,0),11)))</f>
        <v/>
      </c>
      <c r="D24" s="82">
        <f>IF(B24="","",(SUMIFS('3. Prestations'!$H$7:$H$136,'3. Prestations'!$D$7:$D$136,'5. Déclaration AVS'!B24)))</f>
        <v/>
      </c>
    </row>
    <row r="25">
      <c r="A25" s="79">
        <f>IF(B25="","",(INDEX('2. Collaborateurs·trices'!$A$6:$M$40, MATCH('5. Déclaration AVS'!B25,'2. Collaborateurs·trices'!$C$6:$C$40,0),12)))</f>
        <v/>
      </c>
      <c r="B25" s="80">
        <f>IFERROR(VLOOKUP(ROWS($B$6:B25),'3. Prestations'!$A$6:$D$136,4,FALSE),"")</f>
        <v/>
      </c>
      <c r="C25" s="81">
        <f>IF(B25="","",(INDEX('2. Collaborateurs·trices'!$A$6:$M$40, MATCH('5. Déclaration AVS'!B25,'2. Collaborateurs·trices'!$C$6:$C$40,0),11)))</f>
        <v/>
      </c>
      <c r="D25" s="82">
        <f>IF(B25="","",(SUMIFS('3. Prestations'!$H$7:$H$136,'3. Prestations'!$D$7:$D$136,'5. Déclaration AVS'!B25)))</f>
        <v/>
      </c>
    </row>
    <row r="26">
      <c r="A26" s="79">
        <f>IF(B26="","",(INDEX('2. Collaborateurs·trices'!$A$6:$M$40, MATCH('5. Déclaration AVS'!B26,'2. Collaborateurs·trices'!$C$6:$C$40,0),12)))</f>
        <v/>
      </c>
      <c r="B26" s="80">
        <f>IFERROR(VLOOKUP(ROWS($B$6:B26),'3. Prestations'!$A$6:$D$136,4,FALSE),"")</f>
        <v/>
      </c>
      <c r="C26" s="81">
        <f>IF(B26="","",(INDEX('2. Collaborateurs·trices'!$A$6:$M$40, MATCH('5. Déclaration AVS'!B26,'2. Collaborateurs·trices'!$C$6:$C$40,0),11)))</f>
        <v/>
      </c>
      <c r="D26" s="82">
        <f>IF(B26="","",(SUMIFS('3. Prestations'!$H$7:$H$136,'3. Prestations'!$D$7:$D$136,'5. Déclaration AVS'!B26)))</f>
        <v/>
      </c>
    </row>
    <row r="27">
      <c r="A27" s="79">
        <f>IF(B27="","",(INDEX('2. Collaborateurs·trices'!$A$6:$M$40, MATCH('5. Déclaration AVS'!B27,'2. Collaborateurs·trices'!$C$6:$C$40,0),12)))</f>
        <v/>
      </c>
      <c r="B27" s="80">
        <f>IFERROR(VLOOKUP(ROWS($B$6:B27),'3. Prestations'!$A$6:$D$136,4,FALSE),"")</f>
        <v/>
      </c>
      <c r="C27" s="81">
        <f>IF(B27="","",(INDEX('2. Collaborateurs·trices'!$A$6:$M$40, MATCH('5. Déclaration AVS'!B27,'2. Collaborateurs·trices'!$C$6:$C$40,0),11)))</f>
        <v/>
      </c>
      <c r="D27" s="82">
        <f>IF(B27="","",(SUMIFS('3. Prestations'!$H$7:$H$136,'3. Prestations'!$D$7:$D$136,'5. Déclaration AVS'!B27)))</f>
        <v/>
      </c>
    </row>
    <row r="28">
      <c r="A28" s="79">
        <f>IF(B28="","",(INDEX('2. Collaborateurs·trices'!$A$6:$M$40, MATCH('5. Déclaration AVS'!B28,'2. Collaborateurs·trices'!$C$6:$C$40,0),12)))</f>
        <v/>
      </c>
      <c r="B28" s="80">
        <f>IFERROR(VLOOKUP(ROWS($B$6:B28),'3. Prestations'!$A$6:$D$136,4,FALSE),"")</f>
        <v/>
      </c>
      <c r="C28" s="81">
        <f>IF(B28="","",(INDEX('2. Collaborateurs·trices'!$A$6:$M$40, MATCH('5. Déclaration AVS'!B28,'2. Collaborateurs·trices'!$C$6:$C$40,0),11)))</f>
        <v/>
      </c>
      <c r="D28" s="82">
        <f>IF(B28="","",(SUMIFS('3. Prestations'!$H$7:$H$136,'3. Prestations'!$D$7:$D$136,'5. Déclaration AVS'!B28)))</f>
        <v/>
      </c>
    </row>
    <row r="29">
      <c r="A29" s="79">
        <f>IF(B29="","",(INDEX('2. Collaborateurs·trices'!$A$6:$M$40, MATCH('5. Déclaration AVS'!B29,'2. Collaborateurs·trices'!$C$6:$C$40,0),12)))</f>
        <v/>
      </c>
      <c r="B29" s="80">
        <f>IFERROR(VLOOKUP(ROWS($B$6:B29),'3. Prestations'!$A$6:$D$136,4,FALSE),"")</f>
        <v/>
      </c>
      <c r="C29" s="81">
        <f>IF(B29="","",(INDEX('2. Collaborateurs·trices'!$A$6:$M$40, MATCH('5. Déclaration AVS'!B29,'2. Collaborateurs·trices'!$C$6:$C$40,0),11)))</f>
        <v/>
      </c>
      <c r="D29" s="82">
        <f>IF(B29="","",(SUMIFS('3. Prestations'!$H$7:$H$136,'3. Prestations'!$D$7:$D$136,'5. Déclaration AVS'!B29)))</f>
        <v/>
      </c>
    </row>
    <row r="30">
      <c r="A30" s="79">
        <f>IF(B30="","",(INDEX('2. Collaborateurs·trices'!$A$6:$M$40, MATCH('5. Déclaration AVS'!B30,'2. Collaborateurs·trices'!$C$6:$C$40,0),12)))</f>
        <v/>
      </c>
      <c r="B30" s="80">
        <f>IFERROR(VLOOKUP(ROWS($B$6:B30),'3. Prestations'!$A$6:$D$136,4,FALSE),"")</f>
        <v/>
      </c>
      <c r="C30" s="81">
        <f>IF(B30="","",(INDEX('2. Collaborateurs·trices'!$A$6:$M$40, MATCH('5. Déclaration AVS'!B30,'2. Collaborateurs·trices'!$C$6:$C$40,0),11)))</f>
        <v/>
      </c>
      <c r="D30" s="82">
        <f>IF(B30="","",(SUMIFS('3. Prestations'!$H$7:$H$136,'3. Prestations'!$D$7:$D$136,'5. Déclaration AVS'!B30)))</f>
        <v/>
      </c>
    </row>
    <row r="31">
      <c r="A31" s="79">
        <f>IF(B31="","",(INDEX('2. Collaborateurs·trices'!$A$6:$M$40, MATCH('5. Déclaration AVS'!B31,'2. Collaborateurs·trices'!$C$6:$C$40,0),12)))</f>
        <v/>
      </c>
      <c r="B31" s="80">
        <f>IFERROR(VLOOKUP(ROWS($B$6:B31),'3. Prestations'!$A$6:$D$136,4,FALSE),"")</f>
        <v/>
      </c>
      <c r="C31" s="81">
        <f>IF(B31="","",(INDEX('2. Collaborateurs·trices'!$A$6:$M$40, MATCH('5. Déclaration AVS'!B31,'2. Collaborateurs·trices'!$C$6:$C$40,0),11)))</f>
        <v/>
      </c>
      <c r="D31" s="82">
        <f>IF(B31="","",(SUMIFS('3. Prestations'!$H$7:$H$136,'3. Prestations'!$D$7:$D$136,'5. Déclaration AVS'!B31)))</f>
        <v/>
      </c>
    </row>
    <row r="32">
      <c r="A32" s="79">
        <f>IF(B32="","",(INDEX('2. Collaborateurs·trices'!$A$6:$M$40, MATCH('5. Déclaration AVS'!B32,'2. Collaborateurs·trices'!$C$6:$C$40,0),12)))</f>
        <v/>
      </c>
      <c r="B32" s="80">
        <f>IFERROR(VLOOKUP(ROWS($B$6:B32),'3. Prestations'!$A$6:$D$136,4,FALSE),"")</f>
        <v/>
      </c>
      <c r="C32" s="81">
        <f>IF(B32="","",(INDEX('2. Collaborateurs·trices'!$A$6:$M$40, MATCH('5. Déclaration AVS'!B32,'2. Collaborateurs·trices'!$C$6:$C$40,0),11)))</f>
        <v/>
      </c>
      <c r="D32" s="82">
        <f>IF(B32="","",(SUMIFS('3. Prestations'!$H$7:$H$136,'3. Prestations'!$D$7:$D$136,'5. Déclaration AVS'!B32)))</f>
        <v/>
      </c>
    </row>
    <row r="33">
      <c r="A33" s="79">
        <f>IF(B33="","",(INDEX('2. Collaborateurs·trices'!$A$6:$M$40, MATCH('5. Déclaration AVS'!B33,'2. Collaborateurs·trices'!$C$6:$C$40,0),12)))</f>
        <v/>
      </c>
      <c r="B33" s="80">
        <f>IFERROR(VLOOKUP(ROWS($B$6:B33),'3. Prestations'!$A$6:$D$136,4,FALSE),"")</f>
        <v/>
      </c>
      <c r="C33" s="81">
        <f>IF(B33="","",(INDEX('2. Collaborateurs·trices'!$A$6:$M$40, MATCH('5. Déclaration AVS'!B33,'2. Collaborateurs·trices'!$C$6:$C$40,0),11)))</f>
        <v/>
      </c>
      <c r="D33" s="82">
        <f>IF(B33="","",(SUMIFS('3. Prestations'!$H$7:$H$136,'3. Prestations'!$D$7:$D$136,'5. Déclaration AVS'!B33)))</f>
        <v/>
      </c>
    </row>
    <row r="34">
      <c r="A34" s="79">
        <f>IF(B34="","",(INDEX('2. Collaborateurs·trices'!$A$6:$M$40, MATCH('5. Déclaration AVS'!B34,'2. Collaborateurs·trices'!$C$6:$C$40,0),12)))</f>
        <v/>
      </c>
      <c r="B34" s="80">
        <f>IFERROR(VLOOKUP(ROWS($B$6:B34),'3. Prestations'!$A$6:$D$136,4,FALSE),"")</f>
        <v/>
      </c>
      <c r="C34" s="81">
        <f>IF(B34="","",(INDEX('2. Collaborateurs·trices'!$A$6:$M$40, MATCH('5. Déclaration AVS'!B34,'2. Collaborateurs·trices'!$C$6:$C$40,0),11)))</f>
        <v/>
      </c>
      <c r="D34" s="82">
        <f>IF(B34="","",(SUMIFS('3. Prestations'!$H$7:$H$136,'3. Prestations'!$D$7:$D$136,'5. Déclaration AVS'!B34)))</f>
        <v/>
      </c>
    </row>
    <row r="35">
      <c r="A35" s="79">
        <f>IF(B35="","",(INDEX('2. Collaborateurs·trices'!$A$6:$M$40, MATCH('5. Déclaration AVS'!B35,'2. Collaborateurs·trices'!$C$6:$C$40,0),12)))</f>
        <v/>
      </c>
      <c r="B35" s="80">
        <f>IFERROR(VLOOKUP(ROWS($B$6:B35),'3. Prestations'!$A$6:$D$136,4,FALSE),"")</f>
        <v/>
      </c>
      <c r="C35" s="81">
        <f>IF(B35="","",(INDEX('2. Collaborateurs·trices'!$A$6:$M$40, MATCH('5. Déclaration AVS'!B35,'2. Collaborateurs·trices'!$C$6:$C$40,0),11)))</f>
        <v/>
      </c>
      <c r="D35" s="82">
        <f>IF(B35="","",(SUMIFS('3. Prestations'!$H$7:$H$136,'3. Prestations'!$D$7:$D$136,'5. Déclaration AVS'!B35)))</f>
        <v/>
      </c>
    </row>
    <row r="36">
      <c r="A36" s="79">
        <f>IF(B36="","",(INDEX('2. Collaborateurs·trices'!$A$6:$M$40, MATCH('5. Déclaration AVS'!B36,'2. Collaborateurs·trices'!$C$6:$C$40,0),12)))</f>
        <v/>
      </c>
      <c r="B36" s="80">
        <f>IFERROR(VLOOKUP(ROWS($B$6:B36),'3. Prestations'!$A$6:$D$136,4,FALSE),"")</f>
        <v/>
      </c>
      <c r="C36" s="81">
        <f>IF(B36="","",(INDEX('2. Collaborateurs·trices'!$A$6:$M$40, MATCH('5. Déclaration AVS'!B36,'2. Collaborateurs·trices'!$C$6:$C$40,0),11)))</f>
        <v/>
      </c>
      <c r="D36" s="82">
        <f>IF(B36="","",(SUMIFS('3. Prestations'!$H$7:$H$136,'3. Prestations'!$D$7:$D$136,'5. Déclaration AVS'!B36)))</f>
        <v/>
      </c>
    </row>
    <row r="37">
      <c r="A37" s="79">
        <f>IF(B37="","",(INDEX('2. Collaborateurs·trices'!$A$6:$M$40, MATCH('5. Déclaration AVS'!B37,'2. Collaborateurs·trices'!$C$6:$C$40,0),12)))</f>
        <v/>
      </c>
      <c r="B37" s="80">
        <f>IFERROR(VLOOKUP(ROWS($B$6:B37),'3. Prestations'!$A$6:$D$136,4,FALSE),"")</f>
        <v/>
      </c>
      <c r="C37" s="81">
        <f>IF(B37="","",(INDEX('2. Collaborateurs·trices'!$A$6:$M$40, MATCH('5. Déclaration AVS'!B37,'2. Collaborateurs·trices'!$C$6:$C$40,0),11)))</f>
        <v/>
      </c>
      <c r="D37" s="82">
        <f>IF(B37="","",(SUMIFS('3. Prestations'!$H$7:$H$136,'3. Prestations'!$D$7:$D$136,'5. Déclaration AVS'!B37)))</f>
        <v/>
      </c>
    </row>
    <row r="38">
      <c r="A38" s="79">
        <f>IF(B38="","",(INDEX('2. Collaborateurs·trices'!$A$6:$M$40, MATCH('5. Déclaration AVS'!B38,'2. Collaborateurs·trices'!$C$6:$C$40,0),12)))</f>
        <v/>
      </c>
      <c r="B38" s="80">
        <f>IFERROR(VLOOKUP(ROWS($B$6:B38),'3. Prestations'!$A$6:$D$136,4,FALSE),"")</f>
        <v/>
      </c>
      <c r="C38" s="81">
        <f>IF(B38="","",(INDEX('2. Collaborateurs·trices'!$A$6:$M$40, MATCH('5. Déclaration AVS'!B38,'2. Collaborateurs·trices'!$C$6:$C$40,0),11)))</f>
        <v/>
      </c>
      <c r="D38" s="82">
        <f>IF(B38="","",(SUMIFS('3. Prestations'!$H$7:$H$136,'3. Prestations'!$D$7:$D$136,'5. Déclaration AVS'!B38)))</f>
        <v/>
      </c>
    </row>
    <row r="39">
      <c r="A39" s="186">
        <f>IF(B39="","",(INDEX('2. Collaborateurs·trices'!$A$6:$M$40, MATCH('5. Déclaration AVS'!B39,'2. Collaborateurs·trices'!$C$6:$C$40,0),12)))</f>
        <v/>
      </c>
      <c r="B39" s="187">
        <f>IFERROR(VLOOKUP(ROWS($B$6:B39),'3. Prestations'!$A$6:$D$136,4,FALSE),"")</f>
        <v/>
      </c>
      <c r="C39" s="188">
        <f>IF(B39="","",(INDEX('2. Collaborateurs·trices'!$A$6:$M$40, MATCH('5. Déclaration AVS'!B39,'2. Collaborateurs·trices'!$C$6:$C$40,0),11)))</f>
        <v/>
      </c>
      <c r="D39" s="189">
        <f>IF(B39="","",(SUMIFS('3. Prestations'!$H$7:$H$136,'3. Prestations'!$D$7:$D$136,'5. Déclaration AVS'!B39)))</f>
        <v/>
      </c>
    </row>
    <row r="40" ht="17" customHeight="1" thickBot="1">
      <c r="A40" s="190">
        <f>IF(B40="","",(INDEX('2. Collaborateurs·trices'!$A$6:$M$40, MATCH('5. Déclaration AVS'!B40,'2. Collaborateurs·trices'!$C$6:$C$40,0),12)))</f>
        <v/>
      </c>
      <c r="B40" s="191">
        <f>IFERROR(VLOOKUP(ROWS($B$6:B40),'3. Prestations'!$A$6:$D$136,4,FALSE),"")</f>
        <v/>
      </c>
      <c r="C40" s="192">
        <f>IF(B40="","",(INDEX('2. Collaborateurs·trices'!$A$6:$M$40, MATCH('5. Déclaration AVS'!B40,'2. Collaborateurs·trices'!$C$6:$C$40,0),11)))</f>
        <v/>
      </c>
      <c r="D40" s="193">
        <f>IF(B40="","",(SUMIFS('3. Prestations'!$H$7:$H$136,'3. Prestations'!$D$7:$D$136,'5. Déclaration AVS'!B40)))</f>
        <v/>
      </c>
    </row>
    <row r="41">
      <c r="A41" s="194">
        <f>"Total "&amp;('1. Configuration'!B5)</f>
        <v/>
      </c>
      <c r="B41" s="195" t="n"/>
      <c r="C41" s="196" t="n"/>
      <c r="D41" s="197">
        <f>SUM(D6:D40)</f>
        <v/>
      </c>
    </row>
  </sheetData>
  <sheetProtection selectLockedCells="0" selectUnlockedCells="0" algorithmName="SHA-512" sheet="1" objects="1" insertRows="1" insertHyperlinks="1" autoFilter="1" scenarios="1" formatColumns="1" deleteColumns="1" insertColumns="1" pivotTables="1" deleteRows="1" formatCells="1" saltValue="JWUQN5aHmdTHzKwBE0zlyQ==" formatRows="1" sort="1" spinCount="100000" hashValue="CX+SOCIdK+MZfRfjXXDWI2sfN/0EjyYiGiiRici9AnPiqWrCuC7UepUQBAg/04DL9mqkyYrCHDt0oJ0hE5Jf2Q=="/>
  <mergeCells count="1">
    <mergeCell ref="A3:D3"/>
  </mergeCells>
  <pageMargins left="0.7" right="0.7" top="0.75" bottom="0.75" header="0.3" footer="0.3"/>
  <pageSetup orientation="portrait" paperSize="9" scale="70" horizontalDpi="0" verticalDpi="0"/>
</worksheet>
</file>

<file path=xl/worksheets/sheet7.xml><?xml version="1.0" encoding="utf-8"?>
<worksheet xmlns="http://schemas.openxmlformats.org/spreadsheetml/2006/main">
  <sheetPr>
    <outlinePr summaryBelow="1" summaryRight="1"/>
    <pageSetUpPr fitToPage="1"/>
  </sheetPr>
  <dimension ref="A1:K40"/>
  <sheetViews>
    <sheetView workbookViewId="0">
      <selection activeCell="A1" sqref="A1"/>
    </sheetView>
  </sheetViews>
  <sheetFormatPr baseColWidth="10" defaultRowHeight="16"/>
  <cols>
    <col width="26" customWidth="1" style="7" min="1" max="1"/>
    <col width="11.83203125" customWidth="1" style="41" min="2" max="2"/>
    <col width="35.83203125" customWidth="1" style="41" min="3" max="3"/>
    <col width="50.83203125" customWidth="1" style="41" min="4" max="4"/>
    <col hidden="1" width="16.83203125" customWidth="1" style="41" min="5" max="5"/>
    <col width="10.1640625" bestFit="1" customWidth="1" style="41" min="6" max="6"/>
    <col width="13.83203125" customWidth="1" style="41" min="7" max="11"/>
    <col width="10.83203125" customWidth="1" style="41" min="12" max="16384"/>
  </cols>
  <sheetData>
    <row r="1">
      <c r="I1" s="236">
        <f>IF(ISBLANK('1. Configuration'!B8),"",'1. Configuration'!B8)</f>
        <v/>
      </c>
      <c r="J1" s="237" t="n"/>
      <c r="K1" s="237" t="n"/>
    </row>
    <row r="2" ht="19" customHeight="1">
      <c r="A2" s="6" t="inlineStr">
        <is>
          <t>6. Certificats de salaire</t>
        </is>
      </c>
    </row>
    <row r="3">
      <c r="A3" s="7" t="inlineStr">
        <is>
          <t>Récapitulatif des données utiles à l'établissement des certificats de salaires</t>
        </is>
      </c>
    </row>
    <row r="4">
      <c r="A4" s="76" t="n"/>
    </row>
    <row r="5">
      <c r="A5" s="148">
        <f>"Nouveau "&amp;'2. Collaborateurs·trices'!L5</f>
        <v/>
      </c>
      <c r="B5" s="154" t="inlineStr">
        <is>
          <t>Date naiss.</t>
        </is>
      </c>
      <c r="C5" s="150">
        <f>'2. Collaborateurs·trices'!C5</f>
        <v/>
      </c>
      <c r="D5" s="154" t="inlineStr">
        <is>
          <t>Adresse</t>
        </is>
      </c>
      <c r="E5" s="149" t="inlineStr">
        <is>
          <t>Déclaration AVS</t>
        </is>
      </c>
      <c r="F5" s="149" t="inlineStr">
        <is>
          <t>Taux LPP</t>
        </is>
      </c>
      <c r="G5" s="154" t="inlineStr">
        <is>
          <t>Salaire brut</t>
        </is>
      </c>
      <c r="H5" s="154" t="inlineStr">
        <is>
          <t>AVS/AI/AC</t>
        </is>
      </c>
      <c r="I5" s="154" t="inlineStr">
        <is>
          <t>LPP</t>
        </is>
      </c>
      <c r="J5" s="154" t="inlineStr">
        <is>
          <t>Salaire net</t>
        </is>
      </c>
      <c r="K5" s="150" t="inlineStr">
        <is>
          <t>Autres</t>
        </is>
      </c>
    </row>
    <row r="6">
      <c r="A6" s="151" t="inlineStr">
        <is>
          <t>Lettre C</t>
        </is>
      </c>
      <c r="B6" s="155" t="inlineStr">
        <is>
          <t>Lettre C</t>
        </is>
      </c>
      <c r="C6" s="153" t="inlineStr">
        <is>
          <t>Lettre H</t>
        </is>
      </c>
      <c r="D6" s="155" t="inlineStr">
        <is>
          <t>Lettre H</t>
        </is>
      </c>
      <c r="E6" s="152" t="n"/>
      <c r="F6" s="152" t="n"/>
      <c r="G6" s="155" t="inlineStr">
        <is>
          <t>Chiffres 1 et 8</t>
        </is>
      </c>
      <c r="H6" s="155" t="inlineStr">
        <is>
          <t>Chiffre 9</t>
        </is>
      </c>
      <c r="I6" s="155" t="inlineStr">
        <is>
          <t>Chiffre 10.1</t>
        </is>
      </c>
      <c r="J6" s="155" t="inlineStr">
        <is>
          <t>Chiffre 11</t>
        </is>
      </c>
      <c r="K6" s="153" t="inlineStr">
        <is>
          <t>Chiffre 13.1</t>
        </is>
      </c>
    </row>
    <row r="7">
      <c r="A7" s="79">
        <f>IF(C7="","",(INDEX('2. Collaborateurs·trices'!$A$6:$M$40, MATCH(C7,'2. Collaborateurs·trices'!$C$6:$C$40,0),12)))</f>
        <v/>
      </c>
      <c r="B7" s="200">
        <f>IF(C7="","",(INDEX('2. Collaborateurs·trices'!$A$6:$M$40, MATCH(C7,'2. Collaborateurs·trices'!$C$6:$C$40,0),11)))</f>
        <v/>
      </c>
      <c r="C7" s="80">
        <f>IFERROR(VLOOKUP(ROWS($C$7:C7),'3. Prestations'!$B$6:$D$136,3,FALSE),"")</f>
        <v/>
      </c>
      <c r="D7" s="147">
        <f>IF(C7="","",(INDEX('2. Collaborateurs·trices'!$A$6:$M$40, MATCH(C7,'2. Collaborateurs·trices'!$C$6:$C$40,0),4))&amp;" "&amp;(INDEX('2. Collaborateurs·trices'!$A$6:$M$40, MATCH(C7,'2. Collaborateurs·trices'!$C$6:$C$40,0),5)))</f>
        <v/>
      </c>
      <c r="E7" s="146">
        <f t="array" ref="E7">IF(C7="","",(INDEX('2. Collaborateurs·trices'!$A$6:$M$40, MATCH(C7,'2. Collaborateurs·trices'!$C$6:$C$40,0),10)))</f>
        <v/>
      </c>
      <c r="F7" s="137">
        <f t="array" ref="F7">IF(C7="","",(INDEX('2. Collaborateurs·trices'!$A$6:$M$40, MATCH(C7,'2. Collaborateurs·trices'!$C$6:$C$40,0),9)))</f>
        <v/>
      </c>
      <c r="G7" s="138">
        <f>IF(C7="","",TRUNC(SUM((SUMIFS('3. Prestations'!$H$7:$H$136,'3. Prestations'!$D$7:$D$136,C7)),(SUMIFS('3. Prestations'!$L$7:$L$136,'3. Prestations'!$D$7:$D$136,C7)))))</f>
        <v/>
      </c>
      <c r="H7" s="138">
        <f>IFERROR(IF(E7='1. Configuration'!$C$51,(TRUNC(SUM(G7*(SUM('1. Configuration'!B$39,'1. Configuration'!B$40))))),""),"")</f>
        <v/>
      </c>
      <c r="I7" s="138">
        <f>IFERROR(TRUNC(G7*F7),"")</f>
        <v/>
      </c>
      <c r="J7" s="138">
        <f>IFERROR(SUM(G7-H7-I7),"")</f>
        <v/>
      </c>
      <c r="K7" s="138">
        <f>IF(C7="","",(SUMIFS('3. Prestations'!$M$7:$M$136,'3. Prestations'!$D$7:$D$136,'5. Déclaration AVS'!B6)))</f>
        <v/>
      </c>
    </row>
    <row r="8">
      <c r="A8" s="79">
        <f t="array" ref="A8">IF(C8="","",(INDEX('2. Collaborateurs·trices'!$A$6:$M$40, MATCH(C8,'2. Collaborateurs·trices'!$C$6:$C$40,0),12)))</f>
        <v/>
      </c>
      <c r="B8" s="200">
        <f>IF(C8="","",(INDEX('2. Collaborateurs·trices'!$A$6:$M$40, MATCH(C8,'2. Collaborateurs·trices'!$C$6:$C$40,0),11)))</f>
        <v/>
      </c>
      <c r="C8" s="80">
        <f>IFERROR(VLOOKUP(ROWS($C$7:C8),'3. Prestations'!$B$6:$D$136,3,FALSE),"")</f>
        <v/>
      </c>
      <c r="D8" s="147">
        <f t="array" ref="D8">IF(C8="","",(INDEX('2. Collaborateurs·trices'!$A$6:$M$40, MATCH(C8,'2. Collaborateurs·trices'!$C$6:$C$40,0),4))&amp;" "&amp;(INDEX('2. Collaborateurs·trices'!$A$6:$M$40, MATCH(C8,'2. Collaborateurs·trices'!$C$6:$C$40,0),5)))</f>
        <v/>
      </c>
      <c r="E8" s="146">
        <f t="array" ref="E8">IF(C8="","",(INDEX('2. Collaborateurs·trices'!$A$6:$M$40, MATCH(C8,'2. Collaborateurs·trices'!$C$6:$C$40,0),10)))</f>
        <v/>
      </c>
      <c r="F8" s="137">
        <f t="array" ref="F8">IF(C8="","",(INDEX('2. Collaborateurs·trices'!$A$6:$M$40, MATCH(C8,'2. Collaborateurs·trices'!$C$6:$C$40,0),9)))</f>
        <v/>
      </c>
      <c r="G8" s="138">
        <f>IF(C8="","",TRUNC(SUM((SUMIFS('3. Prestations'!$H$7:$H$136,'3. Prestations'!$D$7:$D$136,C8)),(SUMIFS('3. Prestations'!$L$7:$L$136,'3. Prestations'!$D$7:$D$136,C8)))))</f>
        <v/>
      </c>
      <c r="H8" s="138">
        <f>IFERROR(IF(E8='1. Configuration'!$C$51,(TRUNC(SUM(G8*(SUM('1. Configuration'!B$39,'1. Configuration'!B$40))))),""),"")</f>
        <v/>
      </c>
      <c r="I8" s="138">
        <f>IFERROR(TRUNC(G8*F8),"")</f>
        <v/>
      </c>
      <c r="J8" s="138">
        <f>IFERROR(SUM(G8-H8-I8),"")</f>
        <v/>
      </c>
      <c r="K8" s="138">
        <f>IF(C8="","",(SUMIFS('3. Prestations'!$M$7:$M$136,'3. Prestations'!$D$7:$D$136,'5. Déclaration AVS'!B7)))</f>
        <v/>
      </c>
    </row>
    <row r="9">
      <c r="A9" s="79">
        <f t="array" ref="A9">IF(C9="","",(INDEX('2. Collaborateurs·trices'!$A$6:$M$40, MATCH(C9,'2. Collaborateurs·trices'!$C$6:$C$40,0),12)))</f>
        <v/>
      </c>
      <c r="B9" s="200">
        <f>IF(C9="","",(INDEX('2. Collaborateurs·trices'!$A$6:$M$40, MATCH(C9,'2. Collaborateurs·trices'!$C$6:$C$40,0),11)))</f>
        <v/>
      </c>
      <c r="C9" s="80">
        <f>IFERROR(VLOOKUP(ROWS($C$7:C9),'3. Prestations'!$B$6:$D$136,3,FALSE),"")</f>
        <v/>
      </c>
      <c r="D9" s="147">
        <f t="array" ref="D9">IF(C9="","",(INDEX('2. Collaborateurs·trices'!$A$6:$M$40, MATCH(C9,'2. Collaborateurs·trices'!$C$6:$C$40,0),4))&amp;" "&amp;(INDEX('2. Collaborateurs·trices'!$A$6:$M$40, MATCH(C9,'2. Collaborateurs·trices'!$C$6:$C$40,0),5)))</f>
        <v/>
      </c>
      <c r="E9" s="146">
        <f t="array" ref="E9">IF(C9="","",(INDEX('2. Collaborateurs·trices'!$A$6:$M$40, MATCH(C9,'2. Collaborateurs·trices'!$C$6:$C$40,0),10)))</f>
        <v/>
      </c>
      <c r="F9" s="137">
        <f t="array" ref="F9">IF(C9="","",(INDEX('2. Collaborateurs·trices'!$A$6:$M$40, MATCH(C9,'2. Collaborateurs·trices'!$C$6:$C$40,0),9)))</f>
        <v/>
      </c>
      <c r="G9" s="138">
        <f>IF(C9="","",TRUNC(SUM((SUMIFS('3. Prestations'!$H$7:$H$136,'3. Prestations'!$D$7:$D$136,C9)),(SUMIFS('3. Prestations'!$L$7:$L$136,'3. Prestations'!$D$7:$D$136,C9)))))</f>
        <v/>
      </c>
      <c r="H9" s="138">
        <f>IFERROR(IF(E9='1. Configuration'!$C$51,(TRUNC(SUM(G9*(SUM('1. Configuration'!B$39,'1. Configuration'!B$40))))),""),"")</f>
        <v/>
      </c>
      <c r="I9" s="138">
        <f>IFERROR(TRUNC(G9*F9),"")</f>
        <v/>
      </c>
      <c r="J9" s="138">
        <f>IFERROR(SUM(G9-H9-I9),"")</f>
        <v/>
      </c>
      <c r="K9" s="138">
        <f>IF(C9="","",(SUMIFS('3. Prestations'!$M$7:$M$136,'3. Prestations'!$D$7:$D$136,'5. Déclaration AVS'!B8)))</f>
        <v/>
      </c>
    </row>
    <row r="10">
      <c r="A10" s="79">
        <f t="array" ref="A10">IF(C10="","",(INDEX('2. Collaborateurs·trices'!$A$6:$M$40, MATCH(C10,'2. Collaborateurs·trices'!$C$6:$C$40,0),12)))</f>
        <v/>
      </c>
      <c r="B10" s="200">
        <f>IF(C10="","",(INDEX('2. Collaborateurs·trices'!$A$6:$M$40, MATCH(C10,'2. Collaborateurs·trices'!$C$6:$C$40,0),11)))</f>
        <v/>
      </c>
      <c r="C10" s="80">
        <f>IFERROR(VLOOKUP(ROWS($C$7:C10),'3. Prestations'!$B$6:$D$136,3,FALSE),"")</f>
        <v/>
      </c>
      <c r="D10" s="147">
        <f t="array" ref="D10">IF(C10="","",(INDEX('2. Collaborateurs·trices'!$A$6:$M$40, MATCH(C10,'2. Collaborateurs·trices'!$C$6:$C$40,0),4))&amp;" "&amp;(INDEX('2. Collaborateurs·trices'!$A$6:$M$40, MATCH(C10,'2. Collaborateurs·trices'!$C$6:$C$40,0),5)))</f>
        <v/>
      </c>
      <c r="E10" s="146">
        <f t="array" ref="E10">IF(C10="","",(INDEX('2. Collaborateurs·trices'!$A$6:$M$40, MATCH(C10,'2. Collaborateurs·trices'!$C$6:$C$40,0),10)))</f>
        <v/>
      </c>
      <c r="F10" s="137">
        <f t="array" ref="F10">IF(C10="","",(INDEX('2. Collaborateurs·trices'!$A$6:$M$40, MATCH(C10,'2. Collaborateurs·trices'!$C$6:$C$40,0),9)))</f>
        <v/>
      </c>
      <c r="G10" s="138">
        <f>IF(C10="","",TRUNC(SUM((SUMIFS('3. Prestations'!$H$7:$H$136,'3. Prestations'!$D$7:$D$136,C10)),(SUMIFS('3. Prestations'!$L$7:$L$136,'3. Prestations'!$D$7:$D$136,C10)))))</f>
        <v/>
      </c>
      <c r="H10" s="138">
        <f>IFERROR(IF(E10='1. Configuration'!$C$51,(TRUNC(SUM(G10*(SUM('1. Configuration'!B$39,'1. Configuration'!B$40))))),""),"")</f>
        <v/>
      </c>
      <c r="I10" s="138">
        <f>IFERROR(TRUNC(G10*F10),"")</f>
        <v/>
      </c>
      <c r="J10" s="138">
        <f>IFERROR(SUM(G10-H10-I10),"")</f>
        <v/>
      </c>
      <c r="K10" s="138">
        <f>IF(C10="","",(SUMIFS('3. Prestations'!$M$7:$M$136,'3. Prestations'!$D$7:$D$136,'5. Déclaration AVS'!B9)))</f>
        <v/>
      </c>
    </row>
    <row r="11">
      <c r="A11" s="79">
        <f t="array" ref="A11">IF(C11="","",(INDEX('2. Collaborateurs·trices'!$A$6:$M$40, MATCH(C11,'2. Collaborateurs·trices'!$C$6:$C$40,0),12)))</f>
        <v/>
      </c>
      <c r="B11" s="200">
        <f>IF(C11="","",(INDEX('2. Collaborateurs·trices'!$A$6:$M$40, MATCH(C11,'2. Collaborateurs·trices'!$C$6:$C$40,0),11)))</f>
        <v/>
      </c>
      <c r="C11" s="80">
        <f>IFERROR(VLOOKUP(ROWS($C$7:C11),'3. Prestations'!$B$6:$D$136,3,FALSE),"")</f>
        <v/>
      </c>
      <c r="D11" s="147">
        <f t="array" ref="D11">IF(C11="","",(INDEX('2. Collaborateurs·trices'!$A$6:$M$40, MATCH(C11,'2. Collaborateurs·trices'!$C$6:$C$40,0),4))&amp;" "&amp;(INDEX('2. Collaborateurs·trices'!$A$6:$M$40, MATCH(C11,'2. Collaborateurs·trices'!$C$6:$C$40,0),5)))</f>
        <v/>
      </c>
      <c r="E11" s="146">
        <f t="array" ref="E11">IF(C11="","",(INDEX('2. Collaborateurs·trices'!$A$6:$M$40, MATCH(C11,'2. Collaborateurs·trices'!$C$6:$C$40,0),10)))</f>
        <v/>
      </c>
      <c r="F11" s="137">
        <f t="array" ref="F11">IF(C11="","",(INDEX('2. Collaborateurs·trices'!$A$6:$M$40, MATCH(C11,'2. Collaborateurs·trices'!$C$6:$C$40,0),9)))</f>
        <v/>
      </c>
      <c r="G11" s="138">
        <f>IF(C11="","",TRUNC(SUM((SUMIFS('3. Prestations'!$H$7:$H$136,'3. Prestations'!$D$7:$D$136,C11)),(SUMIFS('3. Prestations'!$L$7:$L$136,'3. Prestations'!$D$7:$D$136,C11)))))</f>
        <v/>
      </c>
      <c r="H11" s="138">
        <f>IFERROR(IF(E11='1. Configuration'!$C$51,(TRUNC(SUM(G11*(SUM('1. Configuration'!B$39,'1. Configuration'!B$40))))),""),"")</f>
        <v/>
      </c>
      <c r="I11" s="138">
        <f>IFERROR(TRUNC(G11*F11),"")</f>
        <v/>
      </c>
      <c r="J11" s="138">
        <f>IFERROR(SUM(G11-H11-I11),"")</f>
        <v/>
      </c>
      <c r="K11" s="138">
        <f>IF(C11="","",(SUMIFS('3. Prestations'!$M$7:$M$136,'3. Prestations'!$D$7:$D$136,'5. Déclaration AVS'!B10)))</f>
        <v/>
      </c>
    </row>
    <row r="12">
      <c r="A12" s="79">
        <f t="array" ref="A12">IF(C12="","",(INDEX('2. Collaborateurs·trices'!$A$6:$M$40, MATCH(C12,'2. Collaborateurs·trices'!$C$6:$C$40,0),12)))</f>
        <v/>
      </c>
      <c r="B12" s="200">
        <f>IF(C12="","",(INDEX('2. Collaborateurs·trices'!$A$6:$M$40, MATCH(C12,'2. Collaborateurs·trices'!$C$6:$C$40,0),11)))</f>
        <v/>
      </c>
      <c r="C12" s="80">
        <f>IFERROR(VLOOKUP(ROWS($C$7:C12),'3. Prestations'!$B$6:$D$136,3,FALSE),"")</f>
        <v/>
      </c>
      <c r="D12" s="147">
        <f t="array" ref="D12">IF(C12="","",(INDEX('2. Collaborateurs·trices'!$A$6:$M$40, MATCH(C12,'2. Collaborateurs·trices'!$C$6:$C$40,0),4))&amp;" "&amp;(INDEX('2. Collaborateurs·trices'!$A$6:$M$40, MATCH(C12,'2. Collaborateurs·trices'!$C$6:$C$40,0),5)))</f>
        <v/>
      </c>
      <c r="E12" s="146">
        <f t="array" ref="E12">IF(C12="","",(INDEX('2. Collaborateurs·trices'!$A$6:$M$40, MATCH(C12,'2. Collaborateurs·trices'!$C$6:$C$40,0),10)))</f>
        <v/>
      </c>
      <c r="F12" s="137">
        <f t="array" ref="F12">IF(C12="","",(INDEX('2. Collaborateurs·trices'!$A$6:$M$40, MATCH(C12,'2. Collaborateurs·trices'!$C$6:$C$40,0),9)))</f>
        <v/>
      </c>
      <c r="G12" s="138">
        <f>IF(C12="","",TRUNC(SUM((SUMIFS('3. Prestations'!$H$7:$H$136,'3. Prestations'!$D$7:$D$136,C12)),(SUMIFS('3. Prestations'!$L$7:$L$136,'3. Prestations'!$D$7:$D$136,C12)))))</f>
        <v/>
      </c>
      <c r="H12" s="138">
        <f>IFERROR(IF(E12='1. Configuration'!$C$51,(TRUNC(SUM(G12*(SUM('1. Configuration'!B$39,'1. Configuration'!B$40))))),""),"")</f>
        <v/>
      </c>
      <c r="I12" s="138">
        <f>IFERROR(TRUNC(G12*F12),"")</f>
        <v/>
      </c>
      <c r="J12" s="138">
        <f>IFERROR(SUM(G12-H12-I12),"")</f>
        <v/>
      </c>
      <c r="K12" s="138">
        <f>IF(C12="","",(SUMIFS('3. Prestations'!$M$7:$M$136,'3. Prestations'!$D$7:$D$136,'5. Déclaration AVS'!B11)))</f>
        <v/>
      </c>
    </row>
    <row r="13">
      <c r="A13" s="79">
        <f t="array" ref="A13">IF(C13="","",(INDEX('2. Collaborateurs·trices'!$A$6:$M$40, MATCH(C13,'2. Collaborateurs·trices'!$C$6:$C$40,0),12)))</f>
        <v/>
      </c>
      <c r="B13" s="200">
        <f>IF(C13="","",(INDEX('2. Collaborateurs·trices'!$A$6:$M$40, MATCH(C13,'2. Collaborateurs·trices'!$C$6:$C$40,0),11)))</f>
        <v/>
      </c>
      <c r="C13" s="80">
        <f>IFERROR(VLOOKUP(ROWS($C$7:C13),'3. Prestations'!$B$6:$D$136,3,FALSE),"")</f>
        <v/>
      </c>
      <c r="D13" s="147">
        <f t="array" ref="D13">IF(C13="","",(INDEX('2. Collaborateurs·trices'!$A$6:$M$40, MATCH(C13,'2. Collaborateurs·trices'!$C$6:$C$40,0),4))&amp;" "&amp;(INDEX('2. Collaborateurs·trices'!$A$6:$M$40, MATCH(C13,'2. Collaborateurs·trices'!$C$6:$C$40,0),5)))</f>
        <v/>
      </c>
      <c r="E13" s="146">
        <f t="array" ref="E13">IF(C13="","",(INDEX('2. Collaborateurs·trices'!$A$6:$M$40, MATCH(C13,'2. Collaborateurs·trices'!$C$6:$C$40,0),10)))</f>
        <v/>
      </c>
      <c r="F13" s="137">
        <f t="array" ref="F13">IF(C13="","",(INDEX('2. Collaborateurs·trices'!$A$6:$M$40, MATCH(C13,'2. Collaborateurs·trices'!$C$6:$C$40,0),9)))</f>
        <v/>
      </c>
      <c r="G13" s="138">
        <f>IF(C13="","",TRUNC(SUM((SUMIFS('3. Prestations'!$H$7:$H$136,'3. Prestations'!$D$7:$D$136,C13)),(SUMIFS('3. Prestations'!$L$7:$L$136,'3. Prestations'!$D$7:$D$136,C13)))))</f>
        <v/>
      </c>
      <c r="H13" s="138">
        <f>IFERROR(IF(E13='1. Configuration'!$C$51,(TRUNC(SUM(G13*(SUM('1. Configuration'!B$39,'1. Configuration'!B$40))))),""),"")</f>
        <v/>
      </c>
      <c r="I13" s="138">
        <f>IFERROR(TRUNC(G13*F13),"")</f>
        <v/>
      </c>
      <c r="J13" s="138">
        <f>IFERROR(SUM(G13-H13-I13),"")</f>
        <v/>
      </c>
      <c r="K13" s="138">
        <f>IF(C13="","",(SUMIFS('3. Prestations'!$M$7:$M$136,'3. Prestations'!$D$7:$D$136,'5. Déclaration AVS'!B12)))</f>
        <v/>
      </c>
    </row>
    <row r="14">
      <c r="A14" s="79">
        <f t="array" ref="A14">IF(C14="","",(INDEX('2. Collaborateurs·trices'!$A$6:$M$40, MATCH(C14,'2. Collaborateurs·trices'!$C$6:$C$40,0),12)))</f>
        <v/>
      </c>
      <c r="B14" s="200">
        <f>IF(C14="","",(INDEX('2. Collaborateurs·trices'!$A$6:$M$40, MATCH(C14,'2. Collaborateurs·trices'!$C$6:$C$40,0),11)))</f>
        <v/>
      </c>
      <c r="C14" s="80">
        <f>IFERROR(VLOOKUP(ROWS($C$7:C14),'3. Prestations'!$B$6:$D$136,3,FALSE),"")</f>
        <v/>
      </c>
      <c r="D14" s="147">
        <f t="array" ref="D14">IF(C14="","",(INDEX('2. Collaborateurs·trices'!$A$6:$M$40, MATCH(C14,'2. Collaborateurs·trices'!$C$6:$C$40,0),4))&amp;" "&amp;(INDEX('2. Collaborateurs·trices'!$A$6:$M$40, MATCH(C14,'2. Collaborateurs·trices'!$C$6:$C$40,0),5)))</f>
        <v/>
      </c>
      <c r="E14" s="146">
        <f t="array" ref="E14">IF(C14="","",(INDEX('2. Collaborateurs·trices'!$A$6:$M$40, MATCH(C14,'2. Collaborateurs·trices'!$C$6:$C$40,0),10)))</f>
        <v/>
      </c>
      <c r="F14" s="137">
        <f t="array" ref="F14">IF(C14="","",(INDEX('2. Collaborateurs·trices'!$A$6:$M$40, MATCH(C14,'2. Collaborateurs·trices'!$C$6:$C$40,0),9)))</f>
        <v/>
      </c>
      <c r="G14" s="138">
        <f>IF(C14="","",TRUNC(SUM((SUMIFS('3. Prestations'!$H$7:$H$136,'3. Prestations'!$D$7:$D$136,C14)),(SUMIFS('3. Prestations'!$L$7:$L$136,'3. Prestations'!$D$7:$D$136,C14)))))</f>
        <v/>
      </c>
      <c r="H14" s="138">
        <f>IFERROR(IF(E14='1. Configuration'!$C$51,(TRUNC(SUM(G14*(SUM('1. Configuration'!B$39,'1. Configuration'!B$40))))),""),"")</f>
        <v/>
      </c>
      <c r="I14" s="138">
        <f>IFERROR(TRUNC(G14*F14),"")</f>
        <v/>
      </c>
      <c r="J14" s="138">
        <f>IFERROR(SUM(G14-H14-I14),"")</f>
        <v/>
      </c>
      <c r="K14" s="138">
        <f>IF(C14="","",(SUMIFS('3. Prestations'!$M$7:$M$136,'3. Prestations'!$D$7:$D$136,'5. Déclaration AVS'!B13)))</f>
        <v/>
      </c>
    </row>
    <row r="15">
      <c r="A15" s="79">
        <f t="array" ref="A15">IF(C15="","",(INDEX('2. Collaborateurs·trices'!$A$6:$M$40, MATCH(C15,'2. Collaborateurs·trices'!$C$6:$C$40,0),12)))</f>
        <v/>
      </c>
      <c r="B15" s="200">
        <f>IF(C15="","",(INDEX('2. Collaborateurs·trices'!$A$6:$M$40, MATCH(C15,'2. Collaborateurs·trices'!$C$6:$C$40,0),11)))</f>
        <v/>
      </c>
      <c r="C15" s="80">
        <f>IFERROR(VLOOKUP(ROWS($C$7:C15),'3. Prestations'!$B$6:$D$136,3,FALSE),"")</f>
        <v/>
      </c>
      <c r="D15" s="147">
        <f t="array" ref="D15">IF(C15="","",(INDEX('2. Collaborateurs·trices'!$A$6:$M$40, MATCH(C15,'2. Collaborateurs·trices'!$C$6:$C$40,0),4))&amp;" "&amp;(INDEX('2. Collaborateurs·trices'!$A$6:$M$40, MATCH(C15,'2. Collaborateurs·trices'!$C$6:$C$40,0),5)))</f>
        <v/>
      </c>
      <c r="E15" s="146">
        <f t="array" ref="E15">IF(C15="","",(INDEX('2. Collaborateurs·trices'!$A$6:$M$40, MATCH(C15,'2. Collaborateurs·trices'!$C$6:$C$40,0),10)))</f>
        <v/>
      </c>
      <c r="F15" s="137">
        <f t="array" ref="F15">IF(C15="","",(INDEX('2. Collaborateurs·trices'!$A$6:$M$40, MATCH(C15,'2. Collaborateurs·trices'!$C$6:$C$40,0),9)))</f>
        <v/>
      </c>
      <c r="G15" s="138">
        <f>IF(C15="","",TRUNC(SUM((SUMIFS('3. Prestations'!$H$7:$H$136,'3. Prestations'!$D$7:$D$136,C15)),(SUMIFS('3. Prestations'!$L$7:$L$136,'3. Prestations'!$D$7:$D$136,C15)))))</f>
        <v/>
      </c>
      <c r="H15" s="138">
        <f>IFERROR(IF(E15='1. Configuration'!$C$51,(TRUNC(SUM(G15*(SUM('1. Configuration'!B$39,'1. Configuration'!B$40))))),""),"")</f>
        <v/>
      </c>
      <c r="I15" s="138">
        <f>IFERROR(TRUNC(G15*F15),"")</f>
        <v/>
      </c>
      <c r="J15" s="138">
        <f>IFERROR(SUM(G15-H15-I15),"")</f>
        <v/>
      </c>
      <c r="K15" s="138">
        <f>IF(C15="","",(SUMIFS('3. Prestations'!$M$7:$M$136,'3. Prestations'!$D$7:$D$136,'5. Déclaration AVS'!B14)))</f>
        <v/>
      </c>
    </row>
    <row r="16">
      <c r="A16" s="79">
        <f t="array" ref="A16">IF(C16="","",(INDEX('2. Collaborateurs·trices'!$A$6:$M$40, MATCH(C16,'2. Collaborateurs·trices'!$C$6:$C$40,0),12)))</f>
        <v/>
      </c>
      <c r="B16" s="200">
        <f>IF(C16="","",(INDEX('2. Collaborateurs·trices'!$A$6:$M$40, MATCH(C16,'2. Collaborateurs·trices'!$C$6:$C$40,0),11)))</f>
        <v/>
      </c>
      <c r="C16" s="80">
        <f>IFERROR(VLOOKUP(ROWS($C$7:C16),'3. Prestations'!$B$6:$D$136,3,FALSE),"")</f>
        <v/>
      </c>
      <c r="D16" s="147">
        <f t="array" ref="D16">IF(C16="","",(INDEX('2. Collaborateurs·trices'!$A$6:$M$40, MATCH(C16,'2. Collaborateurs·trices'!$C$6:$C$40,0),4))&amp;" "&amp;(INDEX('2. Collaborateurs·trices'!$A$6:$M$40, MATCH(C16,'2. Collaborateurs·trices'!$C$6:$C$40,0),5)))</f>
        <v/>
      </c>
      <c r="E16" s="146">
        <f t="array" ref="E16">IF(C16="","",(INDEX('2. Collaborateurs·trices'!$A$6:$M$40, MATCH(C16,'2. Collaborateurs·trices'!$C$6:$C$40,0),10)))</f>
        <v/>
      </c>
      <c r="F16" s="137">
        <f t="array" ref="F16">IF(C16="","",(INDEX('2. Collaborateurs·trices'!$A$6:$M$40, MATCH(C16,'2. Collaborateurs·trices'!$C$6:$C$40,0),9)))</f>
        <v/>
      </c>
      <c r="G16" s="138">
        <f>IF(C16="","",TRUNC(SUM((SUMIFS('3. Prestations'!$H$7:$H$136,'3. Prestations'!$D$7:$D$136,C16)),(SUMIFS('3. Prestations'!$L$7:$L$136,'3. Prestations'!$D$7:$D$136,C16)))))</f>
        <v/>
      </c>
      <c r="H16" s="138">
        <f>IFERROR(IF(E16='1. Configuration'!$C$51,(TRUNC(SUM(G16*(SUM('1. Configuration'!B$39,'1. Configuration'!B$40))))),""),"")</f>
        <v/>
      </c>
      <c r="I16" s="138">
        <f>IFERROR(TRUNC(G16*F16),"")</f>
        <v/>
      </c>
      <c r="J16" s="138">
        <f>IFERROR(SUM(G16-H16-I16),"")</f>
        <v/>
      </c>
      <c r="K16" s="138">
        <f>IF(C16="","",(SUMIFS('3. Prestations'!$M$7:$M$136,'3. Prestations'!$D$7:$D$136,'5. Déclaration AVS'!B15)))</f>
        <v/>
      </c>
    </row>
    <row r="17">
      <c r="A17" s="79">
        <f t="array" ref="A17">IF(C17="","",(INDEX('2. Collaborateurs·trices'!$A$6:$M$40, MATCH(C17,'2. Collaborateurs·trices'!$C$6:$C$40,0),12)))</f>
        <v/>
      </c>
      <c r="B17" s="200">
        <f>IF(C17="","",(INDEX('2. Collaborateurs·trices'!$A$6:$M$40, MATCH(C17,'2. Collaborateurs·trices'!$C$6:$C$40,0),11)))</f>
        <v/>
      </c>
      <c r="C17" s="80">
        <f>IFERROR(VLOOKUP(ROWS($C$7:C17),'3. Prestations'!$B$6:$D$136,3,FALSE),"")</f>
        <v/>
      </c>
      <c r="D17" s="147">
        <f t="array" ref="D17">IF(C17="","",(INDEX('2. Collaborateurs·trices'!$A$6:$M$40, MATCH(C17,'2. Collaborateurs·trices'!$C$6:$C$40,0),4))&amp;" "&amp;(INDEX('2. Collaborateurs·trices'!$A$6:$M$40, MATCH(C17,'2. Collaborateurs·trices'!$C$6:$C$40,0),5)))</f>
        <v/>
      </c>
      <c r="E17" s="146">
        <f t="array" ref="E17">IF(C17="","",(INDEX('2. Collaborateurs·trices'!$A$6:$M$40, MATCH(C17,'2. Collaborateurs·trices'!$C$6:$C$40,0),10)))</f>
        <v/>
      </c>
      <c r="F17" s="137">
        <f t="array" ref="F17">IF(C17="","",(INDEX('2. Collaborateurs·trices'!$A$6:$M$40, MATCH(C17,'2. Collaborateurs·trices'!$C$6:$C$40,0),9)))</f>
        <v/>
      </c>
      <c r="G17" s="138">
        <f>IF(C17="","",TRUNC(SUM((SUMIFS('3. Prestations'!$H$7:$H$136,'3. Prestations'!$D$7:$D$136,C17)),(SUMIFS('3. Prestations'!$L$7:$L$136,'3. Prestations'!$D$7:$D$136,C17)))))</f>
        <v/>
      </c>
      <c r="H17" s="138">
        <f>IFERROR(IF(E17='1. Configuration'!$C$51,(TRUNC(SUM(G17*(SUM('1. Configuration'!B$39,'1. Configuration'!B$40))))),""),"")</f>
        <v/>
      </c>
      <c r="I17" s="138">
        <f>IFERROR(TRUNC(G17*F17),"")</f>
        <v/>
      </c>
      <c r="J17" s="138">
        <f>IFERROR(SUM(G17-H17-I17),"")</f>
        <v/>
      </c>
      <c r="K17" s="138">
        <f>IF(C17="","",(SUMIFS('3. Prestations'!$M$7:$M$136,'3. Prestations'!$D$7:$D$136,'5. Déclaration AVS'!B16)))</f>
        <v/>
      </c>
    </row>
    <row r="18">
      <c r="A18" s="79">
        <f t="array" ref="A18">IF(C18="","",(INDEX('2. Collaborateurs·trices'!$A$6:$M$40, MATCH(C18,'2. Collaborateurs·trices'!$C$6:$C$40,0),12)))</f>
        <v/>
      </c>
      <c r="B18" s="200">
        <f>IF(C18="","",(INDEX('2. Collaborateurs·trices'!$A$6:$M$40, MATCH(C18,'2. Collaborateurs·trices'!$C$6:$C$40,0),11)))</f>
        <v/>
      </c>
      <c r="C18" s="80">
        <f>IFERROR(VLOOKUP(ROWS($C$7:C18),'3. Prestations'!$B$6:$D$136,3,FALSE),"")</f>
        <v/>
      </c>
      <c r="D18" s="147">
        <f t="array" ref="D18">IF(C18="","",(INDEX('2. Collaborateurs·trices'!$A$6:$M$40, MATCH(C18,'2. Collaborateurs·trices'!$C$6:$C$40,0),4))&amp;" "&amp;(INDEX('2. Collaborateurs·trices'!$A$6:$M$40, MATCH(C18,'2. Collaborateurs·trices'!$C$6:$C$40,0),5)))</f>
        <v/>
      </c>
      <c r="E18" s="146">
        <f t="array" ref="E18">IF(C18="","",(INDEX('2. Collaborateurs·trices'!$A$6:$M$40, MATCH(C18,'2. Collaborateurs·trices'!$C$6:$C$40,0),10)))</f>
        <v/>
      </c>
      <c r="F18" s="137">
        <f t="array" ref="F18">IF(C18="","",(INDEX('2. Collaborateurs·trices'!$A$6:$M$40, MATCH(C18,'2. Collaborateurs·trices'!$C$6:$C$40,0),9)))</f>
        <v/>
      </c>
      <c r="G18" s="138">
        <f>IF(C18="","",TRUNC(SUM((SUMIFS('3. Prestations'!$H$7:$H$136,'3. Prestations'!$D$7:$D$136,C18)),(SUMIFS('3. Prestations'!$L$7:$L$136,'3. Prestations'!$D$7:$D$136,C18)))))</f>
        <v/>
      </c>
      <c r="H18" s="138">
        <f>IFERROR(IF(E18='1. Configuration'!$C$51,(TRUNC(SUM(G18*(SUM('1. Configuration'!B$39,'1. Configuration'!B$40))))),""),"")</f>
        <v/>
      </c>
      <c r="I18" s="138">
        <f>IFERROR(TRUNC(G18*F18),"")</f>
        <v/>
      </c>
      <c r="J18" s="138">
        <f>IFERROR(SUM(G18-H18-I18),"")</f>
        <v/>
      </c>
      <c r="K18" s="138">
        <f>IF(C18="","",(SUMIFS('3. Prestations'!$M$7:$M$136,'3. Prestations'!$D$7:$D$136,'5. Déclaration AVS'!B17)))</f>
        <v/>
      </c>
    </row>
    <row r="19">
      <c r="A19" s="79">
        <f t="array" ref="A19">IF(C19="","",(INDEX('2. Collaborateurs·trices'!$A$6:$M$40, MATCH(C19,'2. Collaborateurs·trices'!$C$6:$C$40,0),12)))</f>
        <v/>
      </c>
      <c r="B19" s="200">
        <f>IF(C19="","",(INDEX('2. Collaborateurs·trices'!$A$6:$M$40, MATCH(C19,'2. Collaborateurs·trices'!$C$6:$C$40,0),11)))</f>
        <v/>
      </c>
      <c r="C19" s="80">
        <f>IFERROR(VLOOKUP(ROWS($C$7:C19),'3. Prestations'!$B$6:$D$136,3,FALSE),"")</f>
        <v/>
      </c>
      <c r="D19" s="147">
        <f t="array" ref="D19">IF(C19="","",(INDEX('2. Collaborateurs·trices'!$A$6:$M$40, MATCH(C19,'2. Collaborateurs·trices'!$C$6:$C$40,0),4))&amp;" "&amp;(INDEX('2. Collaborateurs·trices'!$A$6:$M$40, MATCH(C19,'2. Collaborateurs·trices'!$C$6:$C$40,0),5)))</f>
        <v/>
      </c>
      <c r="E19" s="146">
        <f t="array" ref="E19">IF(C19="","",(INDEX('2. Collaborateurs·trices'!$A$6:$M$40, MATCH(C19,'2. Collaborateurs·trices'!$C$6:$C$40,0),10)))</f>
        <v/>
      </c>
      <c r="F19" s="137">
        <f t="array" ref="F19">IF(C19="","",(INDEX('2. Collaborateurs·trices'!$A$6:$M$40, MATCH(C19,'2. Collaborateurs·trices'!$C$6:$C$40,0),9)))</f>
        <v/>
      </c>
      <c r="G19" s="138">
        <f>IF(C19="","",TRUNC(SUM((SUMIFS('3. Prestations'!$H$7:$H$136,'3. Prestations'!$D$7:$D$136,C19)),(SUMIFS('3. Prestations'!$L$7:$L$136,'3. Prestations'!$D$7:$D$136,C19)))))</f>
        <v/>
      </c>
      <c r="H19" s="138">
        <f>IFERROR(IF(E19='1. Configuration'!$C$51,(TRUNC(SUM(G19*(SUM('1. Configuration'!B$39,'1. Configuration'!B$40))))),""),"")</f>
        <v/>
      </c>
      <c r="I19" s="138">
        <f>IFERROR(TRUNC(G19*F19),"")</f>
        <v/>
      </c>
      <c r="J19" s="138">
        <f>IFERROR(SUM(G19-H19-I19),"")</f>
        <v/>
      </c>
      <c r="K19" s="138">
        <f>IF(C19="","",(SUMIFS('3. Prestations'!$M$7:$M$136,'3. Prestations'!$D$7:$D$136,'5. Déclaration AVS'!B18)))</f>
        <v/>
      </c>
    </row>
    <row r="20">
      <c r="A20" s="79">
        <f t="array" ref="A20">IF(C20="","",(INDEX('2. Collaborateurs·trices'!$A$6:$M$40, MATCH(C20,'2. Collaborateurs·trices'!$C$6:$C$40,0),12)))</f>
        <v/>
      </c>
      <c r="B20" s="200">
        <f>IF(C20="","",(INDEX('2. Collaborateurs·trices'!$A$6:$M$40, MATCH(C20,'2. Collaborateurs·trices'!$C$6:$C$40,0),11)))</f>
        <v/>
      </c>
      <c r="C20" s="80">
        <f>IFERROR(VLOOKUP(ROWS($C$7:C20),'3. Prestations'!$B$6:$D$136,3,FALSE),"")</f>
        <v/>
      </c>
      <c r="D20" s="147">
        <f t="array" ref="D20">IF(C20="","",(INDEX('2. Collaborateurs·trices'!$A$6:$M$40, MATCH(C20,'2. Collaborateurs·trices'!$C$6:$C$40,0),4))&amp;" "&amp;(INDEX('2. Collaborateurs·trices'!$A$6:$M$40, MATCH(C20,'2. Collaborateurs·trices'!$C$6:$C$40,0),5)))</f>
        <v/>
      </c>
      <c r="E20" s="146">
        <f t="array" ref="E20">IF(C20="","",(INDEX('2. Collaborateurs·trices'!$A$6:$M$40, MATCH(C20,'2. Collaborateurs·trices'!$C$6:$C$40,0),10)))</f>
        <v/>
      </c>
      <c r="F20" s="137">
        <f t="array" ref="F20">IF(C20="","",(INDEX('2. Collaborateurs·trices'!$A$6:$M$40, MATCH(C20,'2. Collaborateurs·trices'!$C$6:$C$40,0),9)))</f>
        <v/>
      </c>
      <c r="G20" s="138">
        <f>IF(C20="","",TRUNC(SUM((SUMIFS('3. Prestations'!$H$7:$H$136,'3. Prestations'!$D$7:$D$136,C20)),(SUMIFS('3. Prestations'!$L$7:$L$136,'3. Prestations'!$D$7:$D$136,C20)))))</f>
        <v/>
      </c>
      <c r="H20" s="138">
        <f>IFERROR(IF(E20='1. Configuration'!$C$51,(TRUNC(SUM(G20*(SUM('1. Configuration'!B$39,'1. Configuration'!B$40))))),""),"")</f>
        <v/>
      </c>
      <c r="I20" s="138">
        <f>IFERROR(TRUNC(G20*F20),"")</f>
        <v/>
      </c>
      <c r="J20" s="138">
        <f>IFERROR(SUM(G20-H20-I20),"")</f>
        <v/>
      </c>
      <c r="K20" s="138">
        <f>IF(C20="","",(SUMIFS('3. Prestations'!$M$7:$M$136,'3. Prestations'!$D$7:$D$136,'5. Déclaration AVS'!B19)))</f>
        <v/>
      </c>
    </row>
    <row r="21">
      <c r="A21" s="79">
        <f t="array" ref="A21">IF(C21="","",(INDEX('2. Collaborateurs·trices'!$A$6:$M$40, MATCH(C21,'2. Collaborateurs·trices'!$C$6:$C$40,0),12)))</f>
        <v/>
      </c>
      <c r="B21" s="200">
        <f>IF(C21="","",(INDEX('2. Collaborateurs·trices'!$A$6:$M$40, MATCH(C21,'2. Collaborateurs·trices'!$C$6:$C$40,0),11)))</f>
        <v/>
      </c>
      <c r="C21" s="80">
        <f>IFERROR(VLOOKUP(ROWS($C$7:C21),'3. Prestations'!$B$6:$D$136,3,FALSE),"")</f>
        <v/>
      </c>
      <c r="D21" s="147">
        <f t="array" ref="D21">IF(C21="","",(INDEX('2. Collaborateurs·trices'!$A$6:$M$40, MATCH(C21,'2. Collaborateurs·trices'!$C$6:$C$40,0),4))&amp;" "&amp;(INDEX('2. Collaborateurs·trices'!$A$6:$M$40, MATCH(C21,'2. Collaborateurs·trices'!$C$6:$C$40,0),5)))</f>
        <v/>
      </c>
      <c r="E21" s="146">
        <f t="array" ref="E21">IF(C21="","",(INDEX('2. Collaborateurs·trices'!$A$6:$M$40, MATCH(C21,'2. Collaborateurs·trices'!$C$6:$C$40,0),10)))</f>
        <v/>
      </c>
      <c r="F21" s="137">
        <f t="array" ref="F21">IF(C21="","",(INDEX('2. Collaborateurs·trices'!$A$6:$M$40, MATCH(C21,'2. Collaborateurs·trices'!$C$6:$C$40,0),9)))</f>
        <v/>
      </c>
      <c r="G21" s="138">
        <f>IF(C21="","",TRUNC(SUM((SUMIFS('3. Prestations'!$H$7:$H$136,'3. Prestations'!$D$7:$D$136,C21)),(SUMIFS('3. Prestations'!$L$7:$L$136,'3. Prestations'!$D$7:$D$136,C21)))))</f>
        <v/>
      </c>
      <c r="H21" s="138">
        <f>IFERROR(IF(E21='1. Configuration'!$C$51,(TRUNC(SUM(G21*(SUM('1. Configuration'!B$39,'1. Configuration'!B$40))))),""),"")</f>
        <v/>
      </c>
      <c r="I21" s="138">
        <f>IFERROR(TRUNC(G21*F21),"")</f>
        <v/>
      </c>
      <c r="J21" s="138">
        <f>IFERROR(SUM(G21-H21-I21),"")</f>
        <v/>
      </c>
      <c r="K21" s="138">
        <f>IF(C21="","",(SUMIFS('3. Prestations'!$M$7:$M$136,'3. Prestations'!$D$7:$D$136,'5. Déclaration AVS'!B20)))</f>
        <v/>
      </c>
    </row>
    <row r="22">
      <c r="A22" s="79">
        <f t="array" ref="A22">IF(C22="","",(INDEX('2. Collaborateurs·trices'!$A$6:$M$40, MATCH(C22,'2. Collaborateurs·trices'!$C$6:$C$40,0),12)))</f>
        <v/>
      </c>
      <c r="B22" s="200">
        <f>IF(C22="","",(INDEX('2. Collaborateurs·trices'!$A$6:$M$40, MATCH(C22,'2. Collaborateurs·trices'!$C$6:$C$40,0),11)))</f>
        <v/>
      </c>
      <c r="C22" s="80">
        <f>IFERROR(VLOOKUP(ROWS($C$7:C22),'3. Prestations'!$B$6:$D$136,3,FALSE),"")</f>
        <v/>
      </c>
      <c r="D22" s="147">
        <f t="array" ref="D22">IF(C22="","",(INDEX('2. Collaborateurs·trices'!$A$6:$M$40, MATCH(C22,'2. Collaborateurs·trices'!$C$6:$C$40,0),4))&amp;" "&amp;(INDEX('2. Collaborateurs·trices'!$A$6:$M$40, MATCH(C22,'2. Collaborateurs·trices'!$C$6:$C$40,0),5)))</f>
        <v/>
      </c>
      <c r="E22" s="146">
        <f t="array" ref="E22">IF(C22="","",(INDEX('2. Collaborateurs·trices'!$A$6:$M$40, MATCH(C22,'2. Collaborateurs·trices'!$C$6:$C$40,0),10)))</f>
        <v/>
      </c>
      <c r="F22" s="137">
        <f t="array" ref="F22">IF(C22="","",(INDEX('2. Collaborateurs·trices'!$A$6:$M$40, MATCH(C22,'2. Collaborateurs·trices'!$C$6:$C$40,0),9)))</f>
        <v/>
      </c>
      <c r="G22" s="138">
        <f>IF(C22="","",TRUNC(SUM((SUMIFS('3. Prestations'!$H$7:$H$136,'3. Prestations'!$D$7:$D$136,C22)),(SUMIFS('3. Prestations'!$L$7:$L$136,'3. Prestations'!$D$7:$D$136,C22)))))</f>
        <v/>
      </c>
      <c r="H22" s="138">
        <f>IFERROR(IF(E22='1. Configuration'!$C$51,(TRUNC(SUM(G22*(SUM('1. Configuration'!B$39,'1. Configuration'!B$40))))),""),"")</f>
        <v/>
      </c>
      <c r="I22" s="138">
        <f>IFERROR(TRUNC(G22*F22),"")</f>
        <v/>
      </c>
      <c r="J22" s="138">
        <f>IFERROR(SUM(G22-H22-I22),"")</f>
        <v/>
      </c>
      <c r="K22" s="138">
        <f>IF(C22="","",(SUMIFS('3. Prestations'!$M$7:$M$136,'3. Prestations'!$D$7:$D$136,'5. Déclaration AVS'!B21)))</f>
        <v/>
      </c>
    </row>
    <row r="23">
      <c r="A23" s="79">
        <f t="array" ref="A23">IF(C23="","",(INDEX('2. Collaborateurs·trices'!$A$6:$M$40, MATCH(C23,'2. Collaborateurs·trices'!$C$6:$C$40,0),12)))</f>
        <v/>
      </c>
      <c r="B23" s="200">
        <f>IF(C23="","",(INDEX('2. Collaborateurs·trices'!$A$6:$M$40, MATCH(C23,'2. Collaborateurs·trices'!$C$6:$C$40,0),11)))</f>
        <v/>
      </c>
      <c r="C23" s="80">
        <f>IFERROR(VLOOKUP(ROWS($C$7:C23),'3. Prestations'!$B$6:$D$136,3,FALSE),"")</f>
        <v/>
      </c>
      <c r="D23" s="147">
        <f t="array" ref="D23">IF(C23="","",(INDEX('2. Collaborateurs·trices'!$A$6:$M$40, MATCH(C23,'2. Collaborateurs·trices'!$C$6:$C$40,0),4))&amp;" "&amp;(INDEX('2. Collaborateurs·trices'!$A$6:$M$40, MATCH(C23,'2. Collaborateurs·trices'!$C$6:$C$40,0),5)))</f>
        <v/>
      </c>
      <c r="E23" s="146">
        <f t="array" ref="E23">IF(C23="","",(INDEX('2. Collaborateurs·trices'!$A$6:$M$40, MATCH(C23,'2. Collaborateurs·trices'!$C$6:$C$40,0),10)))</f>
        <v/>
      </c>
      <c r="F23" s="137">
        <f t="array" ref="F23">IF(C23="","",(INDEX('2. Collaborateurs·trices'!$A$6:$M$40, MATCH(C23,'2. Collaborateurs·trices'!$C$6:$C$40,0),9)))</f>
        <v/>
      </c>
      <c r="G23" s="138">
        <f>IF(C23="","",TRUNC(SUM((SUMIFS('3. Prestations'!$H$7:$H$136,'3. Prestations'!$D$7:$D$136,C23)),(SUMIFS('3. Prestations'!$L$7:$L$136,'3. Prestations'!$D$7:$D$136,C23)))))</f>
        <v/>
      </c>
      <c r="H23" s="138">
        <f>IFERROR(IF(E23='1. Configuration'!$C$51,(TRUNC(SUM(G23*(SUM('1. Configuration'!B$39,'1. Configuration'!B$40))))),""),"")</f>
        <v/>
      </c>
      <c r="I23" s="138">
        <f>IFERROR(TRUNC(G23*F23),"")</f>
        <v/>
      </c>
      <c r="J23" s="138">
        <f>IFERROR(SUM(G23-H23-I23),"")</f>
        <v/>
      </c>
      <c r="K23" s="138">
        <f>IF(C23="","",(SUMIFS('3. Prestations'!$M$7:$M$136,'3. Prestations'!$D$7:$D$136,'5. Déclaration AVS'!B22)))</f>
        <v/>
      </c>
    </row>
    <row r="24">
      <c r="A24" s="79">
        <f t="array" ref="A24">IF(C24="","",(INDEX('2. Collaborateurs·trices'!$A$6:$M$40, MATCH(C24,'2. Collaborateurs·trices'!$C$6:$C$40,0),12)))</f>
        <v/>
      </c>
      <c r="B24" s="200">
        <f>IF(C24="","",(INDEX('2. Collaborateurs·trices'!$A$6:$M$40, MATCH(C24,'2. Collaborateurs·trices'!$C$6:$C$40,0),11)))</f>
        <v/>
      </c>
      <c r="C24" s="80">
        <f>IFERROR(VLOOKUP(ROWS($C$7:C24),'3. Prestations'!$B$6:$D$136,3,FALSE),"")</f>
        <v/>
      </c>
      <c r="D24" s="147">
        <f t="array" ref="D24">IF(C24="","",(INDEX('2. Collaborateurs·trices'!$A$6:$M$40, MATCH(C24,'2. Collaborateurs·trices'!$C$6:$C$40,0),4))&amp;" "&amp;(INDEX('2. Collaborateurs·trices'!$A$6:$M$40, MATCH(C24,'2. Collaborateurs·trices'!$C$6:$C$40,0),5)))</f>
        <v/>
      </c>
      <c r="E24" s="146">
        <f t="array" ref="E24">IF(C24="","",(INDEX('2. Collaborateurs·trices'!$A$6:$M$40, MATCH(C24,'2. Collaborateurs·trices'!$C$6:$C$40,0),10)))</f>
        <v/>
      </c>
      <c r="F24" s="137">
        <f t="array" ref="F24">IF(C24="","",(INDEX('2. Collaborateurs·trices'!$A$6:$M$40, MATCH(C24,'2. Collaborateurs·trices'!$C$6:$C$40,0),9)))</f>
        <v/>
      </c>
      <c r="G24" s="138">
        <f>IF(C24="","",TRUNC(SUM((SUMIFS('3. Prestations'!$H$7:$H$136,'3. Prestations'!$D$7:$D$136,C24)),(SUMIFS('3. Prestations'!$L$7:$L$136,'3. Prestations'!$D$7:$D$136,C24)))))</f>
        <v/>
      </c>
      <c r="H24" s="138">
        <f>IFERROR(IF(E24='1. Configuration'!$C$51,(TRUNC(SUM(G24*(SUM('1. Configuration'!B$39,'1. Configuration'!B$40))))),""),"")</f>
        <v/>
      </c>
      <c r="I24" s="138">
        <f>IFERROR(TRUNC(G24*F24),"")</f>
        <v/>
      </c>
      <c r="J24" s="138">
        <f>IFERROR(SUM(G24-H24-I24),"")</f>
        <v/>
      </c>
      <c r="K24" s="138">
        <f>IF(C24="","",(SUMIFS('3. Prestations'!$M$7:$M$136,'3. Prestations'!$D$7:$D$136,'5. Déclaration AVS'!B23)))</f>
        <v/>
      </c>
    </row>
    <row r="25">
      <c r="A25" s="79">
        <f t="array" ref="A25">IF(C25="","",(INDEX('2. Collaborateurs·trices'!$A$6:$M$40, MATCH(C25,'2. Collaborateurs·trices'!$C$6:$C$40,0),12)))</f>
        <v/>
      </c>
      <c r="B25" s="200">
        <f>IF(C25="","",(INDEX('2. Collaborateurs·trices'!$A$6:$M$40, MATCH(C25,'2. Collaborateurs·trices'!$C$6:$C$40,0),11)))</f>
        <v/>
      </c>
      <c r="C25" s="80">
        <f>IFERROR(VLOOKUP(ROWS($C$7:C25),'3. Prestations'!$B$6:$D$136,3,FALSE),"")</f>
        <v/>
      </c>
      <c r="D25" s="147">
        <f t="array" ref="D25">IF(C25="","",(INDEX('2. Collaborateurs·trices'!$A$6:$M$40, MATCH(C25,'2. Collaborateurs·trices'!$C$6:$C$40,0),4))&amp;" "&amp;(INDEX('2. Collaborateurs·trices'!$A$6:$M$40, MATCH(C25,'2. Collaborateurs·trices'!$C$6:$C$40,0),5)))</f>
        <v/>
      </c>
      <c r="E25" s="146">
        <f t="array" ref="E25">IF(C25="","",(INDEX('2. Collaborateurs·trices'!$A$6:$M$40, MATCH(C25,'2. Collaborateurs·trices'!$C$6:$C$40,0),10)))</f>
        <v/>
      </c>
      <c r="F25" s="137">
        <f t="array" ref="F25">IF(C25="","",(INDEX('2. Collaborateurs·trices'!$A$6:$M$40, MATCH(C25,'2. Collaborateurs·trices'!$C$6:$C$40,0),9)))</f>
        <v/>
      </c>
      <c r="G25" s="138">
        <f>IF(C25="","",TRUNC(SUM((SUMIFS('3. Prestations'!$H$7:$H$136,'3. Prestations'!$D$7:$D$136,C25)),(SUMIFS('3. Prestations'!$L$7:$L$136,'3. Prestations'!$D$7:$D$136,C25)))))</f>
        <v/>
      </c>
      <c r="H25" s="138">
        <f>IFERROR(IF(E25='1. Configuration'!$C$51,(TRUNC(SUM(G25*(SUM('1. Configuration'!B$39,'1. Configuration'!B$40))))),""),"")</f>
        <v/>
      </c>
      <c r="I25" s="138">
        <f>IFERROR(TRUNC(G25*F25),"")</f>
        <v/>
      </c>
      <c r="J25" s="138">
        <f>IFERROR(SUM(G25-H25-I25),"")</f>
        <v/>
      </c>
      <c r="K25" s="138">
        <f>IF(C25="","",(SUMIFS('3. Prestations'!$M$7:$M$136,'3. Prestations'!$D$7:$D$136,'5. Déclaration AVS'!B24)))</f>
        <v/>
      </c>
    </row>
    <row r="26">
      <c r="A26" s="79">
        <f t="array" ref="A26">IF(C26="","",(INDEX('2. Collaborateurs·trices'!$A$6:$M$40, MATCH(C26,'2. Collaborateurs·trices'!$C$6:$C$40,0),12)))</f>
        <v/>
      </c>
      <c r="B26" s="200">
        <f>IF(C26="","",(INDEX('2. Collaborateurs·trices'!$A$6:$M$40, MATCH(C26,'2. Collaborateurs·trices'!$C$6:$C$40,0),11)))</f>
        <v/>
      </c>
      <c r="C26" s="80">
        <f>IFERROR(VLOOKUP(ROWS($C$7:C26),'3. Prestations'!$B$6:$D$136,3,FALSE),"")</f>
        <v/>
      </c>
      <c r="D26" s="147">
        <f t="array" ref="D26">IF(C26="","",(INDEX('2. Collaborateurs·trices'!$A$6:$M$40, MATCH(C26,'2. Collaborateurs·trices'!$C$6:$C$40,0),4))&amp;" "&amp;(INDEX('2. Collaborateurs·trices'!$A$6:$M$40, MATCH(C26,'2. Collaborateurs·trices'!$C$6:$C$40,0),5)))</f>
        <v/>
      </c>
      <c r="E26" s="146">
        <f t="array" ref="E26">IF(C26="","",(INDEX('2. Collaborateurs·trices'!$A$6:$M$40, MATCH(C26,'2. Collaborateurs·trices'!$C$6:$C$40,0),10)))</f>
        <v/>
      </c>
      <c r="F26" s="137">
        <f t="array" ref="F26">IF(C26="","",(INDEX('2. Collaborateurs·trices'!$A$6:$M$40, MATCH(C26,'2. Collaborateurs·trices'!$C$6:$C$40,0),9)))</f>
        <v/>
      </c>
      <c r="G26" s="138">
        <f>IF(C26="","",TRUNC(SUM((SUMIFS('3. Prestations'!$H$7:$H$136,'3. Prestations'!$D$7:$D$136,C26)),(SUMIFS('3. Prestations'!$L$7:$L$136,'3. Prestations'!$D$7:$D$136,C26)))))</f>
        <v/>
      </c>
      <c r="H26" s="138">
        <f>IFERROR(IF(E26='1. Configuration'!$C$51,(TRUNC(SUM(G26*(SUM('1. Configuration'!B$39,'1. Configuration'!B$40))))),""),"")</f>
        <v/>
      </c>
      <c r="I26" s="138">
        <f>IFERROR(TRUNC(G26*F26),"")</f>
        <v/>
      </c>
      <c r="J26" s="138">
        <f>IFERROR(SUM(G26-H26-I26),"")</f>
        <v/>
      </c>
      <c r="K26" s="138">
        <f>IF(C26="","",(SUMIFS('3. Prestations'!$M$7:$M$136,'3. Prestations'!$D$7:$D$136,'5. Déclaration AVS'!B25)))</f>
        <v/>
      </c>
    </row>
    <row r="27">
      <c r="A27" s="79">
        <f t="array" ref="A27">IF(C27="","",(INDEX('2. Collaborateurs·trices'!$A$6:$M$40, MATCH(C27,'2. Collaborateurs·trices'!$C$6:$C$40,0),12)))</f>
        <v/>
      </c>
      <c r="B27" s="200">
        <f>IF(C27="","",(INDEX('2. Collaborateurs·trices'!$A$6:$M$40, MATCH(C27,'2. Collaborateurs·trices'!$C$6:$C$40,0),11)))</f>
        <v/>
      </c>
      <c r="C27" s="80">
        <f>IFERROR(VLOOKUP(ROWS($C$7:C27),'3. Prestations'!$B$6:$D$136,3,FALSE),"")</f>
        <v/>
      </c>
      <c r="D27" s="147">
        <f t="array" ref="D27">IF(C27="","",(INDEX('2. Collaborateurs·trices'!$A$6:$M$40, MATCH(C27,'2. Collaborateurs·trices'!$C$6:$C$40,0),4))&amp;" "&amp;(INDEX('2. Collaborateurs·trices'!$A$6:$M$40, MATCH(C27,'2. Collaborateurs·trices'!$C$6:$C$40,0),5)))</f>
        <v/>
      </c>
      <c r="E27" s="146">
        <f t="array" ref="E27">IF(C27="","",(INDEX('2. Collaborateurs·trices'!$A$6:$M$40, MATCH(C27,'2. Collaborateurs·trices'!$C$6:$C$40,0),10)))</f>
        <v/>
      </c>
      <c r="F27" s="137">
        <f t="array" ref="F27">IF(C27="","",(INDEX('2. Collaborateurs·trices'!$A$6:$M$40, MATCH(C27,'2. Collaborateurs·trices'!$C$6:$C$40,0),9)))</f>
        <v/>
      </c>
      <c r="G27" s="138">
        <f>IF(C27="","",TRUNC(SUM((SUMIFS('3. Prestations'!$H$7:$H$136,'3. Prestations'!$D$7:$D$136,C27)),(SUMIFS('3. Prestations'!$L$7:$L$136,'3. Prestations'!$D$7:$D$136,C27)))))</f>
        <v/>
      </c>
      <c r="H27" s="138">
        <f>IFERROR(IF(E27='1. Configuration'!$C$51,(TRUNC(SUM(G27*(SUM('1. Configuration'!B$39,'1. Configuration'!B$40))))),""),"")</f>
        <v/>
      </c>
      <c r="I27" s="138">
        <f>IFERROR(TRUNC(G27*F27),"")</f>
        <v/>
      </c>
      <c r="J27" s="138">
        <f>IFERROR(SUM(G27-H27-I27),"")</f>
        <v/>
      </c>
      <c r="K27" s="138">
        <f>IF(C27="","",(SUMIFS('3. Prestations'!$M$7:$M$136,'3. Prestations'!$D$7:$D$136,'5. Déclaration AVS'!B26)))</f>
        <v/>
      </c>
    </row>
    <row r="28">
      <c r="A28" s="79">
        <f t="array" ref="A28">IF(C28="","",(INDEX('2. Collaborateurs·trices'!$A$6:$M$40, MATCH(C28,'2. Collaborateurs·trices'!$C$6:$C$40,0),12)))</f>
        <v/>
      </c>
      <c r="B28" s="200">
        <f>IF(C28="","",(INDEX('2. Collaborateurs·trices'!$A$6:$M$40, MATCH(C28,'2. Collaborateurs·trices'!$C$6:$C$40,0),11)))</f>
        <v/>
      </c>
      <c r="C28" s="80">
        <f>IFERROR(VLOOKUP(ROWS($C$7:C28),'3. Prestations'!$B$6:$D$136,3,FALSE),"")</f>
        <v/>
      </c>
      <c r="D28" s="147">
        <f t="array" ref="D28">IF(C28="","",(INDEX('2. Collaborateurs·trices'!$A$6:$M$40, MATCH(C28,'2. Collaborateurs·trices'!$C$6:$C$40,0),4))&amp;" "&amp;(INDEX('2. Collaborateurs·trices'!$A$6:$M$40, MATCH(C28,'2. Collaborateurs·trices'!$C$6:$C$40,0),5)))</f>
        <v/>
      </c>
      <c r="E28" s="146">
        <f t="array" ref="E28">IF(C28="","",(INDEX('2. Collaborateurs·trices'!$A$6:$M$40, MATCH(C28,'2. Collaborateurs·trices'!$C$6:$C$40,0),10)))</f>
        <v/>
      </c>
      <c r="F28" s="137">
        <f t="array" ref="F28">IF(C28="","",(INDEX('2. Collaborateurs·trices'!$A$6:$M$40, MATCH(C28,'2. Collaborateurs·trices'!$C$6:$C$40,0),9)))</f>
        <v/>
      </c>
      <c r="G28" s="138">
        <f>IF(C28="","",TRUNC(SUM((SUMIFS('3. Prestations'!$H$7:$H$136,'3. Prestations'!$D$7:$D$136,C28)),(SUMIFS('3. Prestations'!$L$7:$L$136,'3. Prestations'!$D$7:$D$136,C28)))))</f>
        <v/>
      </c>
      <c r="H28" s="138">
        <f>IFERROR(IF(E28='1. Configuration'!$C$51,(TRUNC(SUM(G28*(SUM('1. Configuration'!B$39,'1. Configuration'!B$40))))),""),"")</f>
        <v/>
      </c>
      <c r="I28" s="138">
        <f>IFERROR(TRUNC(G28*F28),"")</f>
        <v/>
      </c>
      <c r="J28" s="138">
        <f>IFERROR(SUM(G28-H28-I28),"")</f>
        <v/>
      </c>
      <c r="K28" s="138">
        <f>IF(C28="","",(SUMIFS('3. Prestations'!$M$7:$M$136,'3. Prestations'!$D$7:$D$136,'5. Déclaration AVS'!B27)))</f>
        <v/>
      </c>
    </row>
    <row r="29">
      <c r="A29" s="79">
        <f t="array" ref="A29">IF(C29="","",(INDEX('2. Collaborateurs·trices'!$A$6:$M$40, MATCH(C29,'2. Collaborateurs·trices'!$C$6:$C$40,0),12)))</f>
        <v/>
      </c>
      <c r="B29" s="200">
        <f>IF(C29="","",(INDEX('2. Collaborateurs·trices'!$A$6:$M$40, MATCH(C29,'2. Collaborateurs·trices'!$C$6:$C$40,0),11)))</f>
        <v/>
      </c>
      <c r="C29" s="80">
        <f>IFERROR(VLOOKUP(ROWS($C$7:C29),'3. Prestations'!$B$6:$D$136,3,FALSE),"")</f>
        <v/>
      </c>
      <c r="D29" s="147">
        <f t="array" ref="D29">IF(C29="","",(INDEX('2. Collaborateurs·trices'!$A$6:$M$40, MATCH(C29,'2. Collaborateurs·trices'!$C$6:$C$40,0),4))&amp;" "&amp;(INDEX('2. Collaborateurs·trices'!$A$6:$M$40, MATCH(C29,'2. Collaborateurs·trices'!$C$6:$C$40,0),5)))</f>
        <v/>
      </c>
      <c r="E29" s="146">
        <f t="array" ref="E29">IF(C29="","",(INDEX('2. Collaborateurs·trices'!$A$6:$M$40, MATCH(C29,'2. Collaborateurs·trices'!$C$6:$C$40,0),10)))</f>
        <v/>
      </c>
      <c r="F29" s="137">
        <f t="array" ref="F29">IF(C29="","",(INDEX('2. Collaborateurs·trices'!$A$6:$M$40, MATCH(C29,'2. Collaborateurs·trices'!$C$6:$C$40,0),9)))</f>
        <v/>
      </c>
      <c r="G29" s="138">
        <f>IF(C29="","",TRUNC(SUM((SUMIFS('3. Prestations'!$H$7:$H$136,'3. Prestations'!$D$7:$D$136,C29)),(SUMIFS('3. Prestations'!$L$7:$L$136,'3. Prestations'!$D$7:$D$136,C29)))))</f>
        <v/>
      </c>
      <c r="H29" s="138">
        <f>IFERROR(IF(E29='1. Configuration'!$C$51,(TRUNC(SUM(G29*(SUM('1. Configuration'!B$39,'1. Configuration'!B$40))))),""),"")</f>
        <v/>
      </c>
      <c r="I29" s="138">
        <f>IFERROR(TRUNC(G29*F29),"")</f>
        <v/>
      </c>
      <c r="J29" s="138">
        <f>IFERROR(SUM(G29-H29-I29),"")</f>
        <v/>
      </c>
      <c r="K29" s="138">
        <f>IF(C29="","",(SUMIFS('3. Prestations'!$M$7:$M$136,'3. Prestations'!$D$7:$D$136,'5. Déclaration AVS'!B28)))</f>
        <v/>
      </c>
    </row>
    <row r="30">
      <c r="A30" s="79">
        <f t="array" ref="A30">IF(C30="","",(INDEX('2. Collaborateurs·trices'!$A$6:$M$40, MATCH(C30,'2. Collaborateurs·trices'!$C$6:$C$40,0),12)))</f>
        <v/>
      </c>
      <c r="B30" s="200">
        <f>IF(C30="","",(INDEX('2. Collaborateurs·trices'!$A$6:$M$40, MATCH(C30,'2. Collaborateurs·trices'!$C$6:$C$40,0),11)))</f>
        <v/>
      </c>
      <c r="C30" s="80">
        <f>IFERROR(VLOOKUP(ROWS($C$7:C30),'3. Prestations'!$B$6:$D$136,3,FALSE),"")</f>
        <v/>
      </c>
      <c r="D30" s="147">
        <f t="array" ref="D30">IF(C30="","",(INDEX('2. Collaborateurs·trices'!$A$6:$M$40, MATCH(C30,'2. Collaborateurs·trices'!$C$6:$C$40,0),4))&amp;" "&amp;(INDEX('2. Collaborateurs·trices'!$A$6:$M$40, MATCH(C30,'2. Collaborateurs·trices'!$C$6:$C$40,0),5)))</f>
        <v/>
      </c>
      <c r="E30" s="146">
        <f t="array" ref="E30">IF(C30="","",(INDEX('2. Collaborateurs·trices'!$A$6:$M$40, MATCH(C30,'2. Collaborateurs·trices'!$C$6:$C$40,0),10)))</f>
        <v/>
      </c>
      <c r="F30" s="137">
        <f t="array" ref="F30">IF(C30="","",(INDEX('2. Collaborateurs·trices'!$A$6:$M$40, MATCH(C30,'2. Collaborateurs·trices'!$C$6:$C$40,0),9)))</f>
        <v/>
      </c>
      <c r="G30" s="138">
        <f>IF(C30="","",TRUNC(SUM((SUMIFS('3. Prestations'!$H$7:$H$136,'3. Prestations'!$D$7:$D$136,C30)),(SUMIFS('3. Prestations'!$L$7:$L$136,'3. Prestations'!$D$7:$D$136,C30)))))</f>
        <v/>
      </c>
      <c r="H30" s="138">
        <f>IFERROR(IF(E30='1. Configuration'!$C$51,(TRUNC(SUM(G30*(SUM('1. Configuration'!B$39,'1. Configuration'!B$40))))),""),"")</f>
        <v/>
      </c>
      <c r="I30" s="138">
        <f>IFERROR(TRUNC(G30*F30),"")</f>
        <v/>
      </c>
      <c r="J30" s="138">
        <f>IFERROR(SUM(G30-H30-I30),"")</f>
        <v/>
      </c>
      <c r="K30" s="138">
        <f>IF(C30="","",(SUMIFS('3. Prestations'!$M$7:$M$136,'3. Prestations'!$D$7:$D$136,'5. Déclaration AVS'!B29)))</f>
        <v/>
      </c>
    </row>
    <row r="31">
      <c r="A31" s="79">
        <f t="array" ref="A31">IF(C31="","",(INDEX('2. Collaborateurs·trices'!$A$6:$M$40, MATCH(C31,'2. Collaborateurs·trices'!$C$6:$C$40,0),12)))</f>
        <v/>
      </c>
      <c r="B31" s="200">
        <f>IF(C31="","",(INDEX('2. Collaborateurs·trices'!$A$6:$M$40, MATCH(C31,'2. Collaborateurs·trices'!$C$6:$C$40,0),11)))</f>
        <v/>
      </c>
      <c r="C31" s="80">
        <f>IFERROR(VLOOKUP(ROWS($C$7:C31),'3. Prestations'!$B$6:$D$136,3,FALSE),"")</f>
        <v/>
      </c>
      <c r="D31" s="147">
        <f t="array" ref="D31">IF(C31="","",(INDEX('2. Collaborateurs·trices'!$A$6:$M$40, MATCH(C31,'2. Collaborateurs·trices'!$C$6:$C$40,0),4))&amp;" "&amp;(INDEX('2. Collaborateurs·trices'!$A$6:$M$40, MATCH(C31,'2. Collaborateurs·trices'!$C$6:$C$40,0),5)))</f>
        <v/>
      </c>
      <c r="E31" s="146">
        <f t="array" ref="E31">IF(C31="","",(INDEX('2. Collaborateurs·trices'!$A$6:$M$40, MATCH(C31,'2. Collaborateurs·trices'!$C$6:$C$40,0),10)))</f>
        <v/>
      </c>
      <c r="F31" s="137">
        <f t="array" ref="F31">IF(C31="","",(INDEX('2. Collaborateurs·trices'!$A$6:$M$40, MATCH(C31,'2. Collaborateurs·trices'!$C$6:$C$40,0),9)))</f>
        <v/>
      </c>
      <c r="G31" s="138">
        <f>IF(C31="","",TRUNC(SUM((SUMIFS('3. Prestations'!$H$7:$H$136,'3. Prestations'!$D$7:$D$136,C31)),(SUMIFS('3. Prestations'!$L$7:$L$136,'3. Prestations'!$D$7:$D$136,C31)))))</f>
        <v/>
      </c>
      <c r="H31" s="138">
        <f>IFERROR(IF(E31='1. Configuration'!$C$51,(TRUNC(SUM(G31*(SUM('1. Configuration'!B$39,'1. Configuration'!B$40))))),""),"")</f>
        <v/>
      </c>
      <c r="I31" s="138">
        <f>IFERROR(TRUNC(G31*F31),"")</f>
        <v/>
      </c>
      <c r="J31" s="138">
        <f>IFERROR(SUM(G31-H31-I31),"")</f>
        <v/>
      </c>
      <c r="K31" s="138">
        <f>IF(C31="","",(SUMIFS('3. Prestations'!$M$7:$M$136,'3. Prestations'!$D$7:$D$136,'5. Déclaration AVS'!B30)))</f>
        <v/>
      </c>
    </row>
    <row r="32">
      <c r="A32" s="79">
        <f t="array" ref="A32">IF(C32="","",(INDEX('2. Collaborateurs·trices'!$A$6:$M$40, MATCH(C32,'2. Collaborateurs·trices'!$C$6:$C$40,0),12)))</f>
        <v/>
      </c>
      <c r="B32" s="200">
        <f>IF(C32="","",(INDEX('2. Collaborateurs·trices'!$A$6:$M$40, MATCH(C32,'2. Collaborateurs·trices'!$C$6:$C$40,0),11)))</f>
        <v/>
      </c>
      <c r="C32" s="80">
        <f>IFERROR(VLOOKUP(ROWS($C$7:C32),'3. Prestations'!$B$6:$D$136,3,FALSE),"")</f>
        <v/>
      </c>
      <c r="D32" s="147">
        <f t="array" ref="D32">IF(C32="","",(INDEX('2. Collaborateurs·trices'!$A$6:$M$40, MATCH(C32,'2. Collaborateurs·trices'!$C$6:$C$40,0),4))&amp;" "&amp;(INDEX('2. Collaborateurs·trices'!$A$6:$M$40, MATCH(C32,'2. Collaborateurs·trices'!$C$6:$C$40,0),5)))</f>
        <v/>
      </c>
      <c r="E32" s="146">
        <f t="array" ref="E32">IF(C32="","",(INDEX('2. Collaborateurs·trices'!$A$6:$M$40, MATCH(C32,'2. Collaborateurs·trices'!$C$6:$C$40,0),10)))</f>
        <v/>
      </c>
      <c r="F32" s="137">
        <f t="array" ref="F32">IF(C32="","",(INDEX('2. Collaborateurs·trices'!$A$6:$M$40, MATCH(C32,'2. Collaborateurs·trices'!$C$6:$C$40,0),9)))</f>
        <v/>
      </c>
      <c r="G32" s="138">
        <f>IF(C32="","",TRUNC(SUM((SUMIFS('3. Prestations'!$H$7:$H$136,'3. Prestations'!$D$7:$D$136,C32)),(SUMIFS('3. Prestations'!$L$7:$L$136,'3. Prestations'!$D$7:$D$136,C32)))))</f>
        <v/>
      </c>
      <c r="H32" s="138">
        <f>IFERROR(IF(E32='1. Configuration'!$C$51,(TRUNC(SUM(G32*(SUM('1. Configuration'!B$39,'1. Configuration'!B$40))))),""),"")</f>
        <v/>
      </c>
      <c r="I32" s="138">
        <f>IFERROR(TRUNC(G32*F32),"")</f>
        <v/>
      </c>
      <c r="J32" s="138">
        <f>IFERROR(SUM(G32-H32-I32),"")</f>
        <v/>
      </c>
      <c r="K32" s="138">
        <f>IF(C32="","",(SUMIFS('3. Prestations'!$M$7:$M$136,'3. Prestations'!$D$7:$D$136,'5. Déclaration AVS'!B31)))</f>
        <v/>
      </c>
    </row>
    <row r="33">
      <c r="A33" s="79">
        <f t="array" ref="A33">IF(C33="","",(INDEX('2. Collaborateurs·trices'!$A$6:$M$40, MATCH(C33,'2. Collaborateurs·trices'!$C$6:$C$40,0),12)))</f>
        <v/>
      </c>
      <c r="B33" s="200">
        <f>IF(C33="","",(INDEX('2. Collaborateurs·trices'!$A$6:$M$40, MATCH(C33,'2. Collaborateurs·trices'!$C$6:$C$40,0),11)))</f>
        <v/>
      </c>
      <c r="C33" s="80">
        <f>IFERROR(VLOOKUP(ROWS($C$7:C33),'3. Prestations'!$B$6:$D$136,3,FALSE),"")</f>
        <v/>
      </c>
      <c r="D33" s="147">
        <f t="array" ref="D33">IF(C33="","",(INDEX('2. Collaborateurs·trices'!$A$6:$M$40, MATCH(C33,'2. Collaborateurs·trices'!$C$6:$C$40,0),4))&amp;" "&amp;(INDEX('2. Collaborateurs·trices'!$A$6:$M$40, MATCH(C33,'2. Collaborateurs·trices'!$C$6:$C$40,0),5)))</f>
        <v/>
      </c>
      <c r="E33" s="146">
        <f t="array" ref="E33">IF(C33="","",(INDEX('2. Collaborateurs·trices'!$A$6:$M$40, MATCH(C33,'2. Collaborateurs·trices'!$C$6:$C$40,0),10)))</f>
        <v/>
      </c>
      <c r="F33" s="137">
        <f t="array" ref="F33">IF(C33="","",(INDEX('2. Collaborateurs·trices'!$A$6:$M$40, MATCH(C33,'2. Collaborateurs·trices'!$C$6:$C$40,0),9)))</f>
        <v/>
      </c>
      <c r="G33" s="138">
        <f>IF(C33="","",TRUNC(SUM((SUMIFS('3. Prestations'!$H$7:$H$136,'3. Prestations'!$D$7:$D$136,C33)),(SUMIFS('3. Prestations'!$L$7:$L$136,'3. Prestations'!$D$7:$D$136,C33)))))</f>
        <v/>
      </c>
      <c r="H33" s="138">
        <f>IFERROR(IF(E33='1. Configuration'!$C$51,(TRUNC(SUM(G33*(SUM('1. Configuration'!B$39,'1. Configuration'!B$40))))),""),"")</f>
        <v/>
      </c>
      <c r="I33" s="138">
        <f>IFERROR(TRUNC(G33*F33),"")</f>
        <v/>
      </c>
      <c r="J33" s="138">
        <f>IFERROR(SUM(G33-H33-I33),"")</f>
        <v/>
      </c>
      <c r="K33" s="138">
        <f>IF(C33="","",(SUMIFS('3. Prestations'!$M$7:$M$136,'3. Prestations'!$D$7:$D$136,'5. Déclaration AVS'!B32)))</f>
        <v/>
      </c>
    </row>
    <row r="34">
      <c r="A34" s="79">
        <f t="array" ref="A34">IF(C34="","",(INDEX('2. Collaborateurs·trices'!$A$6:$M$40, MATCH(C34,'2. Collaborateurs·trices'!$C$6:$C$40,0),12)))</f>
        <v/>
      </c>
      <c r="B34" s="200">
        <f>IF(C34="","",(INDEX('2. Collaborateurs·trices'!$A$6:$M$40, MATCH(C34,'2. Collaborateurs·trices'!$C$6:$C$40,0),11)))</f>
        <v/>
      </c>
      <c r="C34" s="80">
        <f>IFERROR(VLOOKUP(ROWS($C$7:C34),'3. Prestations'!$B$6:$D$136,3,FALSE),"")</f>
        <v/>
      </c>
      <c r="D34" s="147">
        <f t="array" ref="D34">IF(C34="","",(INDEX('2. Collaborateurs·trices'!$A$6:$M$40, MATCH(C34,'2. Collaborateurs·trices'!$C$6:$C$40,0),4))&amp;" "&amp;(INDEX('2. Collaborateurs·trices'!$A$6:$M$40, MATCH(C34,'2. Collaborateurs·trices'!$C$6:$C$40,0),5)))</f>
        <v/>
      </c>
      <c r="E34" s="146">
        <f t="array" ref="E34">IF(C34="","",(INDEX('2. Collaborateurs·trices'!$A$6:$M$40, MATCH(C34,'2. Collaborateurs·trices'!$C$6:$C$40,0),10)))</f>
        <v/>
      </c>
      <c r="F34" s="137">
        <f t="array" ref="F34">IF(C34="","",(INDEX('2. Collaborateurs·trices'!$A$6:$M$40, MATCH(C34,'2. Collaborateurs·trices'!$C$6:$C$40,0),9)))</f>
        <v/>
      </c>
      <c r="G34" s="138">
        <f>IF(C34="","",TRUNC(SUM((SUMIFS('3. Prestations'!$H$7:$H$136,'3. Prestations'!$D$7:$D$136,C34)),(SUMIFS('3. Prestations'!$L$7:$L$136,'3. Prestations'!$D$7:$D$136,C34)))))</f>
        <v/>
      </c>
      <c r="H34" s="138">
        <f>IFERROR(IF(E34='1. Configuration'!$C$51,(TRUNC(SUM(G34*(SUM('1. Configuration'!B$39,'1. Configuration'!B$40))))),""),"")</f>
        <v/>
      </c>
      <c r="I34" s="138">
        <f>IFERROR(TRUNC(G34*F34),"")</f>
        <v/>
      </c>
      <c r="J34" s="138">
        <f>IFERROR(SUM(G34-H34-I34),"")</f>
        <v/>
      </c>
      <c r="K34" s="138">
        <f>IF(C34="","",(SUMIFS('3. Prestations'!$M$7:$M$136,'3. Prestations'!$D$7:$D$136,'5. Déclaration AVS'!B33)))</f>
        <v/>
      </c>
    </row>
    <row r="35">
      <c r="A35" s="79">
        <f t="array" ref="A35">IF(C35="","",(INDEX('2. Collaborateurs·trices'!$A$6:$M$40, MATCH(C35,'2. Collaborateurs·trices'!$C$6:$C$40,0),12)))</f>
        <v/>
      </c>
      <c r="B35" s="200">
        <f>IF(C35="","",(INDEX('2. Collaborateurs·trices'!$A$6:$M$40, MATCH(C35,'2. Collaborateurs·trices'!$C$6:$C$40,0),11)))</f>
        <v/>
      </c>
      <c r="C35" s="80">
        <f>IFERROR(VLOOKUP(ROWS($C$7:C35),'3. Prestations'!$B$6:$D$136,3,FALSE),"")</f>
        <v/>
      </c>
      <c r="D35" s="147">
        <f t="array" ref="D35">IF(C35="","",(INDEX('2. Collaborateurs·trices'!$A$6:$M$40, MATCH(C35,'2. Collaborateurs·trices'!$C$6:$C$40,0),4))&amp;" "&amp;(INDEX('2. Collaborateurs·trices'!$A$6:$M$40, MATCH(C35,'2. Collaborateurs·trices'!$C$6:$C$40,0),5)))</f>
        <v/>
      </c>
      <c r="E35" s="146">
        <f t="array" ref="E35">IF(C35="","",(INDEX('2. Collaborateurs·trices'!$A$6:$M$40, MATCH(C35,'2. Collaborateurs·trices'!$C$6:$C$40,0),10)))</f>
        <v/>
      </c>
      <c r="F35" s="137">
        <f t="array" ref="F35">IF(C35="","",(INDEX('2. Collaborateurs·trices'!$A$6:$M$40, MATCH(C35,'2. Collaborateurs·trices'!$C$6:$C$40,0),9)))</f>
        <v/>
      </c>
      <c r="G35" s="138">
        <f>IF(C35="","",TRUNC(SUM((SUMIFS('3. Prestations'!$H$7:$H$136,'3. Prestations'!$D$7:$D$136,C35)),(SUMIFS('3. Prestations'!$L$7:$L$136,'3. Prestations'!$D$7:$D$136,C35)))))</f>
        <v/>
      </c>
      <c r="H35" s="138">
        <f>IFERROR(IF(E35='1. Configuration'!$C$51,(TRUNC(SUM(G35*(SUM('1. Configuration'!B$39,'1. Configuration'!B$40))))),""),"")</f>
        <v/>
      </c>
      <c r="I35" s="138">
        <f>IFERROR(TRUNC(G35*F35),"")</f>
        <v/>
      </c>
      <c r="J35" s="138">
        <f>IFERROR(SUM(G35-H35-I35),"")</f>
        <v/>
      </c>
      <c r="K35" s="138">
        <f>IF(C35="","",(SUMIFS('3. Prestations'!$M$7:$M$136,'3. Prestations'!$D$7:$D$136,'5. Déclaration AVS'!B34)))</f>
        <v/>
      </c>
    </row>
    <row r="36">
      <c r="A36" s="79">
        <f t="array" ref="A36">IF(C36="","",(INDEX('2. Collaborateurs·trices'!$A$6:$M$40, MATCH(C36,'2. Collaborateurs·trices'!$C$6:$C$40,0),12)))</f>
        <v/>
      </c>
      <c r="B36" s="200">
        <f>IF(C36="","",(INDEX('2. Collaborateurs·trices'!$A$6:$M$40, MATCH(C36,'2. Collaborateurs·trices'!$C$6:$C$40,0),11)))</f>
        <v/>
      </c>
      <c r="C36" s="80">
        <f>IFERROR(VLOOKUP(ROWS($C$7:C36),'3. Prestations'!$B$6:$D$136,3,FALSE),"")</f>
        <v/>
      </c>
      <c r="D36" s="147">
        <f t="array" ref="D36">IF(C36="","",(INDEX('2. Collaborateurs·trices'!$A$6:$M$40, MATCH(C36,'2. Collaborateurs·trices'!$C$6:$C$40,0),4))&amp;" "&amp;(INDEX('2. Collaborateurs·trices'!$A$6:$M$40, MATCH(C36,'2. Collaborateurs·trices'!$C$6:$C$40,0),5)))</f>
        <v/>
      </c>
      <c r="E36" s="146">
        <f t="array" ref="E36">IF(C36="","",(INDEX('2. Collaborateurs·trices'!$A$6:$M$40, MATCH(C36,'2. Collaborateurs·trices'!$C$6:$C$40,0),10)))</f>
        <v/>
      </c>
      <c r="F36" s="137">
        <f t="array" ref="F36">IF(C36="","",(INDEX('2. Collaborateurs·trices'!$A$6:$M$40, MATCH(C36,'2. Collaborateurs·trices'!$C$6:$C$40,0),9)))</f>
        <v/>
      </c>
      <c r="G36" s="138">
        <f>IF(C36="","",TRUNC(SUM((SUMIFS('3. Prestations'!$H$7:$H$136,'3. Prestations'!$D$7:$D$136,C36)),(SUMIFS('3. Prestations'!$L$7:$L$136,'3. Prestations'!$D$7:$D$136,C36)))))</f>
        <v/>
      </c>
      <c r="H36" s="138">
        <f>IFERROR(IF(E36='1. Configuration'!$C$51,(TRUNC(SUM(G36*(SUM('1. Configuration'!B$39,'1. Configuration'!B$40))))),""),"")</f>
        <v/>
      </c>
      <c r="I36" s="138">
        <f>IFERROR(TRUNC(G36*F36),"")</f>
        <v/>
      </c>
      <c r="J36" s="138">
        <f>IFERROR(SUM(G36-H36-I36),"")</f>
        <v/>
      </c>
      <c r="K36" s="138">
        <f>IF(C36="","",(SUMIFS('3. Prestations'!$M$7:$M$136,'3. Prestations'!$D$7:$D$136,'5. Déclaration AVS'!B35)))</f>
        <v/>
      </c>
    </row>
    <row r="37">
      <c r="A37" s="79">
        <f t="array" ref="A37">IF(C37="","",(INDEX('2. Collaborateurs·trices'!$A$6:$M$40, MATCH(C37,'2. Collaborateurs·trices'!$C$6:$C$40,0),12)))</f>
        <v/>
      </c>
      <c r="B37" s="200">
        <f>IF(C37="","",(INDEX('2. Collaborateurs·trices'!$A$6:$M$40, MATCH(C37,'2. Collaborateurs·trices'!$C$6:$C$40,0),11)))</f>
        <v/>
      </c>
      <c r="C37" s="80">
        <f>IFERROR(VLOOKUP(ROWS($C$7:C37),'3. Prestations'!$B$6:$D$136,3,FALSE),"")</f>
        <v/>
      </c>
      <c r="D37" s="147">
        <f t="array" ref="D37">IF(C37="","",(INDEX('2. Collaborateurs·trices'!$A$6:$M$40, MATCH(C37,'2. Collaborateurs·trices'!$C$6:$C$40,0),4))&amp;" "&amp;(INDEX('2. Collaborateurs·trices'!$A$6:$M$40, MATCH(C37,'2. Collaborateurs·trices'!$C$6:$C$40,0),5)))</f>
        <v/>
      </c>
      <c r="E37" s="146">
        <f t="array" ref="E37">IF(C37="","",(INDEX('2. Collaborateurs·trices'!$A$6:$M$40, MATCH(C37,'2. Collaborateurs·trices'!$C$6:$C$40,0),10)))</f>
        <v/>
      </c>
      <c r="F37" s="137">
        <f t="array" ref="F37">IF(C37="","",(INDEX('2. Collaborateurs·trices'!$A$6:$M$40, MATCH(C37,'2. Collaborateurs·trices'!$C$6:$C$40,0),9)))</f>
        <v/>
      </c>
      <c r="G37" s="138">
        <f>IF(C37="","",TRUNC(SUM((SUMIFS('3. Prestations'!$H$7:$H$136,'3. Prestations'!$D$7:$D$136,C37)),(SUMIFS('3. Prestations'!$L$7:$L$136,'3. Prestations'!$D$7:$D$136,C37)))))</f>
        <v/>
      </c>
      <c r="H37" s="138">
        <f>IFERROR(IF(E37='1. Configuration'!$C$51,(TRUNC(SUM(G37*(SUM('1. Configuration'!B$39,'1. Configuration'!B$40))))),""),"")</f>
        <v/>
      </c>
      <c r="I37" s="138">
        <f>IFERROR(TRUNC(G37*F37),"")</f>
        <v/>
      </c>
      <c r="J37" s="138">
        <f>IFERROR(SUM(G37-H37-I37),"")</f>
        <v/>
      </c>
      <c r="K37" s="138">
        <f>IF(C37="","",(SUMIFS('3. Prestations'!$M$7:$M$136,'3. Prestations'!$D$7:$D$136,'5. Déclaration AVS'!B36)))</f>
        <v/>
      </c>
    </row>
    <row r="38">
      <c r="A38" s="79">
        <f t="array" ref="A38">IF(C38="","",(INDEX('2. Collaborateurs·trices'!$A$6:$M$40, MATCH(C38,'2. Collaborateurs·trices'!$C$6:$C$40,0),12)))</f>
        <v/>
      </c>
      <c r="B38" s="200">
        <f>IF(C38="","",(INDEX('2. Collaborateurs·trices'!$A$6:$M$40, MATCH(C38,'2. Collaborateurs·trices'!$C$6:$C$40,0),11)))</f>
        <v/>
      </c>
      <c r="C38" s="80">
        <f>IFERROR(VLOOKUP(ROWS($C$7:C38),'3. Prestations'!$B$6:$D$136,3,FALSE),"")</f>
        <v/>
      </c>
      <c r="D38" s="147">
        <f t="array" ref="D38">IF(C38="","",(INDEX('2. Collaborateurs·trices'!$A$6:$M$40, MATCH(C38,'2. Collaborateurs·trices'!$C$6:$C$40,0),4))&amp;" "&amp;(INDEX('2. Collaborateurs·trices'!$A$6:$M$40, MATCH(C38,'2. Collaborateurs·trices'!$C$6:$C$40,0),5)))</f>
        <v/>
      </c>
      <c r="E38" s="146">
        <f t="array" ref="E38">IF(C38="","",(INDEX('2. Collaborateurs·trices'!$A$6:$M$40, MATCH(C38,'2. Collaborateurs·trices'!$C$6:$C$40,0),10)))</f>
        <v/>
      </c>
      <c r="F38" s="137">
        <f t="array" ref="F38">IF(C38="","",(INDEX('2. Collaborateurs·trices'!$A$6:$M$40, MATCH(C38,'2. Collaborateurs·trices'!$C$6:$C$40,0),9)))</f>
        <v/>
      </c>
      <c r="G38" s="138">
        <f>IF(C38="","",TRUNC(SUM((SUMIFS('3. Prestations'!$H$7:$H$136,'3. Prestations'!$D$7:$D$136,C38)),(SUMIFS('3. Prestations'!$L$7:$L$136,'3. Prestations'!$D$7:$D$136,C38)))))</f>
        <v/>
      </c>
      <c r="H38" s="138">
        <f>IFERROR(IF(E38='1. Configuration'!$C$51,(TRUNC(SUM(G38*(SUM('1. Configuration'!B$39,'1. Configuration'!B$40))))),""),"")</f>
        <v/>
      </c>
      <c r="I38" s="138">
        <f>IFERROR(TRUNC(G38*F38),"")</f>
        <v/>
      </c>
      <c r="J38" s="138">
        <f>IFERROR(SUM(G38-H38-I38),"")</f>
        <v/>
      </c>
      <c r="K38" s="138">
        <f>IF(C38="","",(SUMIFS('3. Prestations'!$M$7:$M$136,'3. Prestations'!$D$7:$D$136,'5. Déclaration AVS'!B37)))</f>
        <v/>
      </c>
    </row>
    <row r="39">
      <c r="A39" s="79">
        <f t="array" ref="A39">IF(C39="","",(INDEX('2. Collaborateurs·trices'!$A$6:$M$40, MATCH(C39,'2. Collaborateurs·trices'!$C$6:$C$40,0),12)))</f>
        <v/>
      </c>
      <c r="B39" s="200">
        <f>IF(C39="","",(INDEX('2. Collaborateurs·trices'!$A$6:$M$40, MATCH(C39,'2. Collaborateurs·trices'!$C$6:$C$40,0),11)))</f>
        <v/>
      </c>
      <c r="C39" s="80">
        <f>IFERROR(VLOOKUP(ROWS($C$7:C39),'3. Prestations'!$B$6:$D$136,3,FALSE),"")</f>
        <v/>
      </c>
      <c r="D39" s="147">
        <f t="array" ref="D39">IF(C39="","",(INDEX('2. Collaborateurs·trices'!$A$6:$M$40, MATCH(C39,'2. Collaborateurs·trices'!$C$6:$C$40,0),4))&amp;" "&amp;(INDEX('2. Collaborateurs·trices'!$A$6:$M$40, MATCH(C39,'2. Collaborateurs·trices'!$C$6:$C$40,0),5)))</f>
        <v/>
      </c>
      <c r="E39" s="146">
        <f t="array" ref="E39">IF(C39="","",(INDEX('2. Collaborateurs·trices'!$A$6:$M$40, MATCH(C39,'2. Collaborateurs·trices'!$C$6:$C$40,0),10)))</f>
        <v/>
      </c>
      <c r="F39" s="137">
        <f t="array" ref="F39">IF(C39="","",(INDEX('2. Collaborateurs·trices'!$A$6:$M$40, MATCH(C39,'2. Collaborateurs·trices'!$C$6:$C$40,0),9)))</f>
        <v/>
      </c>
      <c r="G39" s="138">
        <f>IF(C39="","",TRUNC(SUM((SUMIFS('3. Prestations'!$H$7:$H$136,'3. Prestations'!$D$7:$D$136,C39)),(SUMIFS('3. Prestations'!$L$7:$L$136,'3. Prestations'!$D$7:$D$136,C39)))))</f>
        <v/>
      </c>
      <c r="H39" s="138">
        <f>IFERROR(IF(E39='1. Configuration'!$C$51,(TRUNC(SUM(G39*(SUM('1. Configuration'!B$39,'1. Configuration'!B$40))))),""),"")</f>
        <v/>
      </c>
      <c r="I39" s="138">
        <f>IFERROR(TRUNC(G39*F39),"")</f>
        <v/>
      </c>
      <c r="J39" s="138">
        <f>IFERROR(SUM(G39-H39-I39),"")</f>
        <v/>
      </c>
      <c r="K39" s="138">
        <f>IF(C39="","",(SUMIFS('3. Prestations'!$M$7:$M$136,'3. Prestations'!$D$7:$D$136,'5. Déclaration AVS'!B38)))</f>
        <v/>
      </c>
    </row>
    <row r="40">
      <c r="A40" s="79">
        <f t="array" ref="A40">IF(C40="","",(INDEX('2. Collaborateurs·trices'!$A$6:$M$40, MATCH(C40,'2. Collaborateurs·trices'!$C$6:$C$40,0),12)))</f>
        <v/>
      </c>
      <c r="B40" s="200">
        <f>IF(C40="","",(INDEX('2. Collaborateurs·trices'!$A$6:$M$40, MATCH(C40,'2. Collaborateurs·trices'!$C$6:$C$40,0),11)))</f>
        <v/>
      </c>
      <c r="C40" s="80">
        <f>IFERROR(VLOOKUP(ROWS($C$7:C40),'3. Prestations'!$B$6:$D$136,3,FALSE),"")</f>
        <v/>
      </c>
      <c r="D40" s="147">
        <f t="array" ref="D40">IF(C40="","",(INDEX('2. Collaborateurs·trices'!$A$6:$M$40, MATCH(C40,'2. Collaborateurs·trices'!$C$6:$C$40,0),4))&amp;" "&amp;(INDEX('2. Collaborateurs·trices'!$A$6:$M$40, MATCH(C40,'2. Collaborateurs·trices'!$C$6:$C$40,0),5)))</f>
        <v/>
      </c>
      <c r="E40" s="146">
        <f t="array" ref="E40">IF(C40="","",(INDEX('2. Collaborateurs·trices'!$A$6:$M$40, MATCH(C40,'2. Collaborateurs·trices'!$C$6:$C$40,0),10)))</f>
        <v/>
      </c>
      <c r="F40" s="137">
        <f t="array" ref="F40">IF(C40="","",(INDEX('2. Collaborateurs·trices'!$A$6:$M$40, MATCH(C40,'2. Collaborateurs·trices'!$C$6:$C$40,0),9)))</f>
        <v/>
      </c>
      <c r="G40" s="138">
        <f>IF(C40="","",TRUNC(SUM((SUMIFS('3. Prestations'!$H$7:$H$136,'3. Prestations'!$D$7:$D$136,C40)),(SUMIFS('3. Prestations'!$L$7:$L$136,'3. Prestations'!$D$7:$D$136,C40)))))</f>
        <v/>
      </c>
      <c r="H40" s="138">
        <f>IFERROR(IF(E40='1. Configuration'!$C$51,(TRUNC(SUM(G40*(SUM('1. Configuration'!B$39,'1. Configuration'!B$40))))),""),"")</f>
        <v/>
      </c>
      <c r="I40" s="138">
        <f>IFERROR(TRUNC(G40*F40),"")</f>
        <v/>
      </c>
      <c r="J40" s="138">
        <f>IFERROR(SUM(G40-H40-I40),"")</f>
        <v/>
      </c>
      <c r="K40" s="138">
        <f>IF(C40="","",(SUMIFS('3. Prestations'!$M$7:$M$136,'3. Prestations'!$D$7:$D$136,'5. Déclaration AVS'!B39)))</f>
        <v/>
      </c>
    </row>
  </sheetData>
  <sheetProtection selectLockedCells="0" selectUnlockedCells="0" algorithmName="SHA-512" sheet="1" objects="1" insertRows="1" insertHyperlinks="1" autoFilter="1" scenarios="1" formatColumns="1" deleteColumns="1" insertColumns="1" pivotTables="1" deleteRows="1" formatCells="1" saltValue="yNGG07RF02JJ2Jg7xqwv9g==" formatRows="1" sort="1" spinCount="100000" hashValue="4/YKMwjMB+0JZFTCSVhWglV6XEW/nJSYxGsQkyYqZWU9IueFyvDBgOXM7bpiPLnUkOIZqUhU4KuX74CYpGYQtw=="/>
  <mergeCells count="1">
    <mergeCell ref="I1:K1"/>
  </mergeCells>
  <conditionalFormatting sqref="A7:B40">
    <cfRule type="cellIs" priority="1" operator="between" dxfId="0">
      <formula>0</formula>
      <formula>0</formula>
    </cfRule>
  </conditionalFormatting>
  <pageMargins left="0.7" right="0.7" top="0.75" bottom="0.75" header="0.3" footer="0.3"/>
  <pageSetup orientation="portrait" paperSize="9" scale="45"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Fixture</dc:creator>
  <dcterms:created xsi:type="dcterms:W3CDTF">2019-11-04T17:46:59Z</dcterms:created>
  <dcterms:modified xsi:type="dcterms:W3CDTF">2026-10-04T07:20:50Z</dcterms:modified>
  <cp:lastModifiedBy>Fixture</cp:lastModifiedBy>
  <cp:lastPrinted>2026-06-14T17:22:41Z</cp:lastPrinted>
</cp:coreProperties>
</file>